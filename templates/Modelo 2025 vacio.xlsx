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filterPrivacy="1" defaultThemeVersion="124226"/>
  <xr:revisionPtr revIDLastSave="0" documentId="13_ncr:1_{662552B7-EF4A-B349-B864-AF06184DBBF5}" xr6:coauthVersionLast="47" xr6:coauthVersionMax="47" xr10:uidLastSave="{00000000-0000-0000-0000-000000000000}"/>
  <bookViews>
    <workbookView xWindow="0" yWindow="0" windowWidth="28800" windowHeight="18000" activeTab="4" xr2:uid="{00000000-000D-0000-FFFF-FFFF00000000}"/>
  </bookViews>
  <sheets>
    <sheet name="Datos Tweenvest" sheetId="7" r:id="rId1"/>
    <sheet name="1.Income statement" sheetId="1" r:id="rId2"/>
    <sheet name="2.Flujos de caja" sheetId="2" r:id="rId3"/>
    <sheet name="3.retornos capital" sheetId="3" r:id="rId4"/>
    <sheet name="4. Valoración" sheetId="5" r:id="rId5"/>
    <sheet name="INSTRUCCION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5" l="1"/>
  <c r="J27" i="1"/>
  <c r="S32" i="5"/>
  <c r="S31" i="5"/>
  <c r="S30" i="5"/>
  <c r="S29" i="5"/>
  <c r="R32" i="5"/>
  <c r="R31" i="5"/>
  <c r="R30" i="5"/>
  <c r="R29" i="5"/>
  <c r="J26" i="2"/>
  <c r="D137" i="7"/>
  <c r="E137" i="7"/>
  <c r="F137" i="7"/>
  <c r="H137" i="7"/>
  <c r="I137" i="7"/>
  <c r="C137" i="7"/>
  <c r="J24" i="2"/>
  <c r="J23" i="2"/>
  <c r="D18" i="3"/>
  <c r="E18" i="3"/>
  <c r="F18" i="3"/>
  <c r="G18" i="3"/>
  <c r="H18" i="3"/>
  <c r="I18" i="3"/>
  <c r="C18" i="3"/>
  <c r="D17" i="3"/>
  <c r="E17" i="3"/>
  <c r="F17" i="3"/>
  <c r="G17" i="3"/>
  <c r="H17" i="3"/>
  <c r="I17" i="3"/>
  <c r="C17" i="3"/>
  <c r="D15" i="3"/>
  <c r="E15" i="3"/>
  <c r="F15" i="3"/>
  <c r="G15" i="3"/>
  <c r="H15" i="3"/>
  <c r="I15" i="3"/>
  <c r="C15" i="3"/>
  <c r="D14" i="3"/>
  <c r="E14" i="3"/>
  <c r="F14" i="3"/>
  <c r="G14" i="3"/>
  <c r="H14" i="3"/>
  <c r="I14" i="3"/>
  <c r="C14" i="3"/>
  <c r="D11" i="2"/>
  <c r="E11" i="2"/>
  <c r="F11" i="2"/>
  <c r="G11" i="2"/>
  <c r="H11" i="2"/>
  <c r="I11" i="2"/>
  <c r="C11" i="2"/>
  <c r="I27" i="1"/>
  <c r="D27" i="1"/>
  <c r="E27" i="1"/>
  <c r="F27" i="1"/>
  <c r="G27" i="1"/>
  <c r="H27" i="1"/>
  <c r="C27" i="1"/>
  <c r="D20" i="1"/>
  <c r="E20" i="1"/>
  <c r="F20" i="1"/>
  <c r="G20" i="1"/>
  <c r="H20" i="1"/>
  <c r="I20" i="1"/>
  <c r="C20" i="1"/>
  <c r="I17" i="1"/>
  <c r="D17" i="1"/>
  <c r="E17" i="1"/>
  <c r="F17" i="1"/>
  <c r="G17" i="1"/>
  <c r="H17" i="1"/>
  <c r="C17" i="1"/>
  <c r="D14" i="1"/>
  <c r="E14" i="1"/>
  <c r="F14" i="1"/>
  <c r="G14" i="1"/>
  <c r="H14" i="1"/>
  <c r="I14" i="1"/>
  <c r="C14" i="1"/>
  <c r="D15" i="1"/>
  <c r="E15" i="1"/>
  <c r="F15" i="1"/>
  <c r="G15" i="1"/>
  <c r="H15" i="1"/>
  <c r="I15" i="1"/>
  <c r="C15" i="1"/>
  <c r="D10" i="1"/>
  <c r="E10" i="1"/>
  <c r="F10" i="1"/>
  <c r="G10" i="1"/>
  <c r="H10" i="1"/>
  <c r="I10" i="1"/>
  <c r="C10" i="1"/>
  <c r="C19" i="3" l="1"/>
  <c r="D19" i="3"/>
  <c r="E19" i="3"/>
  <c r="F19" i="3"/>
  <c r="G19" i="3"/>
  <c r="H19" i="3"/>
  <c r="I19" i="3"/>
  <c r="J11" i="2"/>
  <c r="K11" i="2" s="1"/>
  <c r="L11" i="2" s="1"/>
  <c r="M11" i="2" s="1"/>
  <c r="N11" i="2" s="1"/>
  <c r="J17" i="1"/>
  <c r="K17" i="1" s="1"/>
  <c r="L17" i="1" s="1"/>
  <c r="M17" i="1" s="1"/>
  <c r="N17" i="1" s="1"/>
  <c r="P10" i="3"/>
  <c r="H19" i="1"/>
  <c r="H22" i="1" s="1"/>
  <c r="H24" i="1" s="1"/>
  <c r="G19" i="1"/>
  <c r="G22" i="1" s="1"/>
  <c r="G24" i="1" s="1"/>
  <c r="F19" i="1"/>
  <c r="F22" i="1" s="1"/>
  <c r="F24" i="1" s="1"/>
  <c r="E19" i="1"/>
  <c r="E22" i="1" s="1"/>
  <c r="E24" i="1" s="1"/>
  <c r="D19" i="1"/>
  <c r="D22" i="1" s="1"/>
  <c r="D24" i="1" s="1"/>
  <c r="C19" i="1"/>
  <c r="C22" i="1" s="1"/>
  <c r="C24" i="1" s="1"/>
  <c r="H16" i="1"/>
  <c r="G16" i="1"/>
  <c r="F16" i="1"/>
  <c r="E16" i="1"/>
  <c r="D16" i="1"/>
  <c r="C16" i="1"/>
  <c r="H12" i="1"/>
  <c r="H13" i="1" s="1"/>
  <c r="G12" i="1"/>
  <c r="G13" i="1" s="1"/>
  <c r="F12" i="1"/>
  <c r="F13" i="1" s="1"/>
  <c r="E12" i="1"/>
  <c r="E13" i="1" s="1"/>
  <c r="D12" i="1"/>
  <c r="D13" i="1" s="1"/>
  <c r="C12" i="1"/>
  <c r="C13" i="1" s="1"/>
  <c r="H11" i="1"/>
  <c r="G11" i="1"/>
  <c r="F11" i="1"/>
  <c r="E11" i="1"/>
  <c r="D11" i="1"/>
  <c r="C11" i="1"/>
  <c r="J12" i="2"/>
  <c r="K12" i="2" s="1"/>
  <c r="L12" i="2" s="1"/>
  <c r="M12" i="2" s="1"/>
  <c r="N12" i="2" s="1"/>
  <c r="D21" i="1" l="1"/>
  <c r="F21" i="1"/>
  <c r="C21" i="1"/>
  <c r="E21" i="1"/>
  <c r="D26" i="1"/>
  <c r="D25" i="1"/>
  <c r="F26" i="1"/>
  <c r="F25" i="1"/>
  <c r="H26" i="1"/>
  <c r="H25" i="1"/>
  <c r="E26" i="1"/>
  <c r="E25" i="1"/>
  <c r="G26" i="1"/>
  <c r="G25" i="1"/>
  <c r="C26" i="1"/>
  <c r="C25" i="1"/>
  <c r="G21" i="1"/>
  <c r="H21" i="1"/>
  <c r="I13" i="2" l="1"/>
  <c r="J11" i="1" l="1"/>
  <c r="J10" i="1"/>
  <c r="I20" i="3" l="1"/>
  <c r="C11" i="5"/>
  <c r="D11" i="5"/>
  <c r="E11" i="5"/>
  <c r="F11" i="5"/>
  <c r="G11" i="5"/>
  <c r="H11" i="5"/>
  <c r="C20" i="3"/>
  <c r="D20" i="3"/>
  <c r="E20" i="3"/>
  <c r="F20" i="3"/>
  <c r="G20" i="3"/>
  <c r="H20" i="3"/>
  <c r="C12" i="5" l="1"/>
  <c r="H12" i="5"/>
  <c r="G12" i="5"/>
  <c r="D12" i="5"/>
  <c r="E12" i="5"/>
  <c r="F12" i="5"/>
  <c r="I11" i="5"/>
  <c r="I12" i="1" l="1"/>
  <c r="I12" i="5" s="1"/>
  <c r="E15" i="2" l="1"/>
  <c r="F15" i="2"/>
  <c r="G15" i="2"/>
  <c r="H15" i="2"/>
  <c r="I15" i="2"/>
  <c r="D15" i="2"/>
  <c r="C15" i="2"/>
  <c r="I10" i="5" l="1"/>
  <c r="I13" i="5"/>
  <c r="I16" i="5"/>
  <c r="I10" i="3"/>
  <c r="I24" i="3" s="1"/>
  <c r="I11" i="3"/>
  <c r="I12" i="3"/>
  <c r="J14" i="1"/>
  <c r="K14" i="1" s="1"/>
  <c r="L14" i="1" s="1"/>
  <c r="M14" i="1" s="1"/>
  <c r="N14" i="1" s="1"/>
  <c r="J23" i="1"/>
  <c r="I14" i="2"/>
  <c r="I14" i="5" l="1"/>
  <c r="I24" i="5"/>
  <c r="I23" i="3"/>
  <c r="I11" i="1"/>
  <c r="I13" i="1"/>
  <c r="I16" i="1"/>
  <c r="I19" i="1"/>
  <c r="I21" i="1" s="1"/>
  <c r="I15" i="5" l="1"/>
  <c r="I23" i="5" s="1"/>
  <c r="I10" i="2"/>
  <c r="I16" i="2" s="1"/>
  <c r="I22" i="1"/>
  <c r="I24" i="1" s="1"/>
  <c r="I13" i="3" s="1"/>
  <c r="I18" i="5" l="1"/>
  <c r="I22" i="5" s="1"/>
  <c r="I26" i="1"/>
  <c r="I22" i="3"/>
  <c r="I17" i="5"/>
  <c r="I21" i="5" s="1"/>
  <c r="I25" i="1"/>
  <c r="K23" i="1" l="1"/>
  <c r="L23" i="1" s="1"/>
  <c r="M23" i="1" s="1"/>
  <c r="N23" i="1" s="1"/>
  <c r="G13" i="5" l="1"/>
  <c r="G12" i="3" l="1"/>
  <c r="F12" i="3"/>
  <c r="E12" i="3"/>
  <c r="D12" i="3"/>
  <c r="C12" i="3"/>
  <c r="G11" i="3"/>
  <c r="F11" i="3"/>
  <c r="E11" i="3"/>
  <c r="D11" i="3"/>
  <c r="C11" i="3"/>
  <c r="G10" i="3"/>
  <c r="F10" i="3"/>
  <c r="E10" i="3"/>
  <c r="D10" i="3"/>
  <c r="D24" i="3" s="1"/>
  <c r="C10" i="3"/>
  <c r="J15" i="2"/>
  <c r="K15" i="2"/>
  <c r="L15" i="2"/>
  <c r="M15" i="2"/>
  <c r="N15" i="2"/>
  <c r="E13" i="3"/>
  <c r="E22" i="3" s="1"/>
  <c r="D13" i="3"/>
  <c r="D22" i="3" s="1"/>
  <c r="C13" i="3"/>
  <c r="C22" i="3" s="1"/>
  <c r="E24" i="3" l="1"/>
  <c r="C24" i="3"/>
  <c r="F24" i="3"/>
  <c r="C23" i="3"/>
  <c r="E23" i="3"/>
  <c r="G23" i="3"/>
  <c r="G24" i="3"/>
  <c r="D23" i="3"/>
  <c r="F23" i="3"/>
  <c r="F13" i="3"/>
  <c r="F22" i="3" s="1"/>
  <c r="G13" i="3"/>
  <c r="G22" i="3" s="1"/>
  <c r="H13" i="5" l="1"/>
  <c r="J16" i="3"/>
  <c r="K16" i="3" s="1"/>
  <c r="L16" i="3" s="1"/>
  <c r="M16" i="3" s="1"/>
  <c r="N16" i="3" s="1"/>
  <c r="J17" i="3" l="1"/>
  <c r="J18" i="3"/>
  <c r="J15" i="3"/>
  <c r="J14" i="3"/>
  <c r="K14" i="3" s="1"/>
  <c r="L14" i="3" s="1"/>
  <c r="M14" i="3" s="1"/>
  <c r="N14" i="3" s="1"/>
  <c r="C13" i="5"/>
  <c r="D13" i="5"/>
  <c r="E13" i="5"/>
  <c r="F13" i="5"/>
  <c r="J19" i="3" l="1"/>
  <c r="J20" i="3"/>
  <c r="H16" i="5" l="1"/>
  <c r="G16" i="5"/>
  <c r="F16" i="5"/>
  <c r="E16" i="5"/>
  <c r="D16" i="5"/>
  <c r="C16" i="5"/>
  <c r="H12" i="3" l="1"/>
  <c r="H11" i="3"/>
  <c r="H10" i="3"/>
  <c r="H24" i="3" s="1"/>
  <c r="H23" i="3" l="1"/>
  <c r="C15" i="5" l="1"/>
  <c r="D15" i="5"/>
  <c r="E15" i="5"/>
  <c r="F15" i="5"/>
  <c r="G15" i="5"/>
  <c r="H15" i="5" l="1"/>
  <c r="K15" i="3"/>
  <c r="K17" i="3"/>
  <c r="L17" i="3" s="1"/>
  <c r="M17" i="3" s="1"/>
  <c r="N17" i="3" s="1"/>
  <c r="K18" i="3" l="1"/>
  <c r="K19" i="3" s="1"/>
  <c r="L15" i="3"/>
  <c r="C14" i="2"/>
  <c r="D14" i="2"/>
  <c r="E14" i="2"/>
  <c r="F14" i="2"/>
  <c r="G14" i="2"/>
  <c r="H14" i="2"/>
  <c r="C13" i="2"/>
  <c r="D13" i="2"/>
  <c r="E13" i="2"/>
  <c r="F13" i="2"/>
  <c r="G13" i="2"/>
  <c r="H13" i="2"/>
  <c r="C10" i="2"/>
  <c r="C16" i="2" s="1"/>
  <c r="D10" i="2"/>
  <c r="E10" i="2"/>
  <c r="F10" i="2"/>
  <c r="G10" i="2"/>
  <c r="H10" i="2"/>
  <c r="K21" i="1"/>
  <c r="L21" i="1"/>
  <c r="M21" i="1"/>
  <c r="N21" i="1"/>
  <c r="J21" i="1"/>
  <c r="J15" i="1"/>
  <c r="J19" i="1" s="1"/>
  <c r="K11" i="1"/>
  <c r="L11" i="1"/>
  <c r="M11" i="1"/>
  <c r="N11" i="1"/>
  <c r="K20" i="3" l="1"/>
  <c r="F16" i="2"/>
  <c r="F18" i="5" s="1"/>
  <c r="H16" i="2"/>
  <c r="H18" i="5" s="1"/>
  <c r="G16" i="2"/>
  <c r="G18" i="5" s="1"/>
  <c r="D16" i="2"/>
  <c r="D18" i="5" s="1"/>
  <c r="E16" i="2"/>
  <c r="E18" i="5" s="1"/>
  <c r="C18" i="5"/>
  <c r="J16" i="5"/>
  <c r="J10" i="3"/>
  <c r="J24" i="3" s="1"/>
  <c r="J13" i="2"/>
  <c r="J11" i="3"/>
  <c r="L18" i="3"/>
  <c r="L19" i="3" s="1"/>
  <c r="M15" i="3"/>
  <c r="J12" i="1"/>
  <c r="J16" i="1"/>
  <c r="K10" i="1"/>
  <c r="K15" i="1" s="1"/>
  <c r="K19" i="1" l="1"/>
  <c r="L20" i="3"/>
  <c r="J23" i="3"/>
  <c r="K16" i="5"/>
  <c r="K10" i="3"/>
  <c r="J15" i="5"/>
  <c r="J13" i="1"/>
  <c r="K11" i="3"/>
  <c r="M18" i="3"/>
  <c r="M19" i="3" s="1"/>
  <c r="N15" i="3"/>
  <c r="K13" i="2"/>
  <c r="K12" i="1"/>
  <c r="K16" i="1"/>
  <c r="L13" i="2" s="1"/>
  <c r="L10" i="1"/>
  <c r="L15" i="1" s="1"/>
  <c r="D17" i="2"/>
  <c r="C17" i="2"/>
  <c r="H17" i="2"/>
  <c r="G17" i="2"/>
  <c r="F17" i="2"/>
  <c r="E17" i="2"/>
  <c r="L19" i="1" l="1"/>
  <c r="M20" i="3"/>
  <c r="C17" i="5"/>
  <c r="G17" i="5"/>
  <c r="F17" i="5"/>
  <c r="L16" i="5"/>
  <c r="L10" i="3"/>
  <c r="L24" i="3" s="1"/>
  <c r="L11" i="3"/>
  <c r="K15" i="5"/>
  <c r="K13" i="1"/>
  <c r="H17" i="5"/>
  <c r="H13" i="3"/>
  <c r="H22" i="3" s="1"/>
  <c r="K23" i="3"/>
  <c r="K24" i="3"/>
  <c r="N18" i="3"/>
  <c r="N19" i="3" s="1"/>
  <c r="M10" i="1"/>
  <c r="M15" i="1" s="1"/>
  <c r="L12" i="1"/>
  <c r="L16" i="1"/>
  <c r="M13" i="2" s="1"/>
  <c r="M19" i="1" l="1"/>
  <c r="N20" i="3"/>
  <c r="L23" i="3"/>
  <c r="D17" i="5"/>
  <c r="M11" i="3"/>
  <c r="L15" i="5"/>
  <c r="L13" i="1"/>
  <c r="M16" i="5"/>
  <c r="M10" i="3"/>
  <c r="E17" i="5"/>
  <c r="N10" i="1"/>
  <c r="N15" i="1" s="1"/>
  <c r="M16" i="1"/>
  <c r="M12" i="1"/>
  <c r="N19" i="1" l="1"/>
  <c r="N11" i="3"/>
  <c r="N13" i="2"/>
  <c r="N16" i="5"/>
  <c r="N10" i="3"/>
  <c r="N23" i="3" s="1"/>
  <c r="M23" i="3"/>
  <c r="M24" i="3"/>
  <c r="M15" i="5"/>
  <c r="M13" i="1"/>
  <c r="N16" i="1"/>
  <c r="N12" i="1"/>
  <c r="N24" i="3" l="1"/>
  <c r="N15" i="5"/>
  <c r="N13" i="1"/>
  <c r="J10" i="2"/>
  <c r="K10" i="2"/>
  <c r="L10" i="2"/>
  <c r="N10" i="2"/>
  <c r="M10" i="2"/>
  <c r="I17" i="2" l="1"/>
  <c r="N20" i="1"/>
  <c r="K20" i="1"/>
  <c r="K22" i="1" l="1"/>
  <c r="K24" i="1" s="1"/>
  <c r="K12" i="3"/>
  <c r="N14" i="2"/>
  <c r="N16" i="2" s="1"/>
  <c r="N22" i="2" s="1"/>
  <c r="N12" i="3"/>
  <c r="N22" i="1"/>
  <c r="M20" i="1"/>
  <c r="K14" i="2"/>
  <c r="K16" i="2" s="1"/>
  <c r="K22" i="2" s="1"/>
  <c r="L20" i="1"/>
  <c r="J20" i="1"/>
  <c r="K28" i="2" l="1"/>
  <c r="K30" i="2" s="1"/>
  <c r="N28" i="2"/>
  <c r="N30" i="2" s="1"/>
  <c r="N31" i="2"/>
  <c r="N11" i="5" s="1"/>
  <c r="K18" i="5"/>
  <c r="N18" i="5"/>
  <c r="L22" i="1"/>
  <c r="L24" i="1" s="1"/>
  <c r="L12" i="3"/>
  <c r="K17" i="5"/>
  <c r="K13" i="3"/>
  <c r="K22" i="3" s="1"/>
  <c r="M22" i="1"/>
  <c r="M24" i="1" s="1"/>
  <c r="M12" i="3"/>
  <c r="J22" i="1"/>
  <c r="J24" i="1" s="1"/>
  <c r="J12" i="3"/>
  <c r="K25" i="1"/>
  <c r="N24" i="1"/>
  <c r="J14" i="2"/>
  <c r="J16" i="2" s="1"/>
  <c r="J22" i="2" s="1"/>
  <c r="M14" i="2"/>
  <c r="M16" i="2" s="1"/>
  <c r="M22" i="2" s="1"/>
  <c r="L14" i="2"/>
  <c r="L16" i="2" s="1"/>
  <c r="L22" i="2" s="1"/>
  <c r="L28" i="2" l="1"/>
  <c r="L30" i="2" s="1"/>
  <c r="L31" i="2"/>
  <c r="L11" i="5" s="1"/>
  <c r="N13" i="5"/>
  <c r="N12" i="5"/>
  <c r="M28" i="2"/>
  <c r="M30" i="2" s="1"/>
  <c r="J28" i="2"/>
  <c r="J30" i="2" s="1"/>
  <c r="J26" i="1" s="1"/>
  <c r="K31" i="2"/>
  <c r="K11" i="5" s="1"/>
  <c r="L18" i="5"/>
  <c r="M18" i="5"/>
  <c r="J18" i="5"/>
  <c r="M17" i="5"/>
  <c r="M13" i="3"/>
  <c r="M22" i="3" s="1"/>
  <c r="J17" i="5"/>
  <c r="J13" i="3"/>
  <c r="J22" i="3" s="1"/>
  <c r="L17" i="5"/>
  <c r="L13" i="3"/>
  <c r="L22" i="3" s="1"/>
  <c r="N17" i="5"/>
  <c r="N13" i="3"/>
  <c r="N22" i="3" s="1"/>
  <c r="N25" i="1"/>
  <c r="L25" i="1"/>
  <c r="M25" i="1"/>
  <c r="J25" i="1"/>
  <c r="M31" i="2" l="1"/>
  <c r="M11" i="5" s="1"/>
  <c r="M13" i="5" s="1"/>
  <c r="J31" i="2"/>
  <c r="J21" i="5" s="1"/>
  <c r="L13" i="5"/>
  <c r="L12" i="5"/>
  <c r="K13" i="5"/>
  <c r="K12" i="5"/>
  <c r="K23" i="2"/>
  <c r="K27" i="1"/>
  <c r="K24" i="5" s="1"/>
  <c r="J10" i="5"/>
  <c r="J17" i="2"/>
  <c r="K22" i="5" l="1"/>
  <c r="M12" i="5"/>
  <c r="J14" i="5"/>
  <c r="J22" i="5"/>
  <c r="L27" i="1"/>
  <c r="L23" i="2"/>
  <c r="K10" i="5"/>
  <c r="K14" i="5" s="1"/>
  <c r="K26" i="1"/>
  <c r="K17" i="2"/>
  <c r="K23" i="5"/>
  <c r="J13" i="5"/>
  <c r="J12" i="5"/>
  <c r="J24" i="5"/>
  <c r="J23" i="5"/>
  <c r="K21" i="5"/>
  <c r="M27" i="1" l="1"/>
  <c r="M23" i="2"/>
  <c r="L10" i="5"/>
  <c r="L14" i="5" s="1"/>
  <c r="L26" i="1"/>
  <c r="L21" i="5"/>
  <c r="C21" i="5" s="1"/>
  <c r="L17" i="2"/>
  <c r="L23" i="5"/>
  <c r="C23" i="5" s="1"/>
  <c r="L22" i="5"/>
  <c r="C22" i="5" s="1"/>
  <c r="L24" i="5"/>
  <c r="C24" i="5" s="1"/>
  <c r="N27" i="1" l="1"/>
  <c r="N23" i="2"/>
  <c r="M10" i="5"/>
  <c r="M14" i="5" s="1"/>
  <c r="M26" i="1"/>
  <c r="M21" i="5"/>
  <c r="M24" i="5"/>
  <c r="M23" i="5"/>
  <c r="M17" i="2"/>
  <c r="M22" i="5"/>
  <c r="N10" i="5" l="1"/>
  <c r="N14" i="5" s="1"/>
  <c r="N22" i="5"/>
  <c r="D22" i="5" s="1"/>
  <c r="N24" i="5"/>
  <c r="D24" i="5" s="1"/>
  <c r="N26" i="1"/>
  <c r="N23" i="5"/>
  <c r="D23" i="5" s="1"/>
  <c r="N17" i="2"/>
  <c r="N21" i="5"/>
  <c r="D21"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15" authorId="0" shapeId="0" xr:uid="{00000000-0006-0000-0000-000001000000}">
      <text>
        <r>
          <rPr>
            <b/>
            <sz val="9"/>
            <color indexed="81"/>
            <rFont val="Tahoma"/>
            <family val="2"/>
          </rPr>
          <t>Autor:</t>
        </r>
        <r>
          <rPr>
            <sz val="9"/>
            <color indexed="81"/>
            <rFont val="Tahoma"/>
            <family val="2"/>
          </rPr>
          <t xml:space="preserve">
EBIT, a veces aparece con nombres como: beneficio operativo, operating income</t>
        </r>
      </text>
    </comment>
    <comment ref="B17" authorId="0" shapeId="0" xr:uid="{00000000-0006-0000-0000-000002000000}">
      <text>
        <r>
          <rPr>
            <b/>
            <sz val="9"/>
            <color rgb="FF000000"/>
            <rFont val="Tahoma"/>
            <family val="2"/>
          </rPr>
          <t>Autor:</t>
        </r>
        <r>
          <rPr>
            <sz val="9"/>
            <color rgb="FF000000"/>
            <rFont val="Tahoma"/>
            <family val="2"/>
          </rPr>
          <t xml:space="preserve">
</t>
        </r>
        <r>
          <rPr>
            <sz val="9"/>
            <color rgb="FF000000"/>
            <rFont val="Tahoma"/>
            <family val="2"/>
          </rPr>
          <t>En la plantilla de ejemplo. Neurones no tiene deuda y mucha caja, por eso ingresa intereses en vez de pagarlos y aparece con signo negativo. Lo normal en el 90% de la empresas es que tengan pago de intereses y hay que introducir el valor de esos pagos con signo positivo.</t>
        </r>
      </text>
    </comment>
    <comment ref="B20" authorId="0" shapeId="0" xr:uid="{00000000-0006-0000-0000-000005000000}">
      <text>
        <r>
          <rPr>
            <b/>
            <sz val="9"/>
            <color indexed="81"/>
            <rFont val="Tahoma"/>
            <family val="2"/>
          </rPr>
          <t>A. Estebaran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11" authorId="0" shapeId="0" xr:uid="{00000000-0006-0000-0100-000001000000}">
      <text>
        <r>
          <rPr>
            <b/>
            <sz val="9"/>
            <color indexed="81"/>
            <rFont val="Tahoma"/>
            <family val="2"/>
          </rPr>
          <t>Autor:</t>
        </r>
        <r>
          <rPr>
            <sz val="9"/>
            <color indexed="81"/>
            <rFont val="Tahoma"/>
            <family val="2"/>
          </rPr>
          <t xml:space="preserve">
Aparece en los informes como investment in property, ó inversion en activos fijos, ó como "capital expenditures.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15" authorId="0" shapeId="0" xr:uid="{00000000-0006-0000-0200-000001000000}">
      <text>
        <r>
          <rPr>
            <b/>
            <sz val="9"/>
            <color indexed="81"/>
            <rFont val="Tahoma"/>
            <family val="2"/>
          </rPr>
          <t>Autor:</t>
        </r>
        <r>
          <rPr>
            <sz val="9"/>
            <color indexed="81"/>
            <rFont val="Tahoma"/>
            <family val="2"/>
          </rPr>
          <t xml:space="preserve">
Deuda que requiera pago de intereses, tanto a corto plazo como a largo plazo.</t>
        </r>
      </text>
    </comment>
    <comment ref="B16" authorId="0" shapeId="0" xr:uid="{07D06FE7-89CC-44C2-B44D-B1EA4E70C5AD}">
      <text>
        <r>
          <rPr>
            <b/>
            <sz val="9"/>
            <color rgb="FF000000"/>
            <rFont val="Tahoma"/>
            <family val="2"/>
          </rPr>
          <t>Autor:</t>
        </r>
        <r>
          <rPr>
            <sz val="9"/>
            <color rgb="FF000000"/>
            <rFont val="Tahoma"/>
            <family val="2"/>
          </rPr>
          <t xml:space="preserve">
Deuda que requiera pago de intereses, tanto a corto plazo como a largo plazo.</t>
        </r>
      </text>
    </comment>
    <comment ref="B18" authorId="0" shapeId="0" xr:uid="{00000000-0006-0000-0200-000002000000}">
      <text>
        <r>
          <rPr>
            <b/>
            <sz val="9"/>
            <color indexed="81"/>
            <rFont val="Tahoma"/>
            <family val="2"/>
          </rPr>
          <t>Autor:</t>
        </r>
        <r>
          <rPr>
            <sz val="9"/>
            <color indexed="81"/>
            <rFont val="Tahoma"/>
            <family val="2"/>
          </rPr>
          <t xml:space="preserve">
Si la equity aparece con signo negativo en los informes hemos de introducir la cifra con signo negativo.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11" authorId="0" shapeId="0" xr:uid="{00000000-0006-0000-0300-000001000000}">
      <text>
        <r>
          <rPr>
            <b/>
            <sz val="9"/>
            <color indexed="81"/>
            <rFont val="Tahoma"/>
            <family val="2"/>
          </rPr>
          <t>Autor:</t>
        </r>
        <r>
          <rPr>
            <sz val="9"/>
            <color indexed="81"/>
            <rFont val="Tahoma"/>
            <family val="2"/>
          </rPr>
          <t xml:space="preserve">
Si la empresa posee caja neta introducir con signo negativo
</t>
        </r>
      </text>
    </comment>
    <comment ref="J11" authorId="0" shapeId="0" xr:uid="{00000000-0006-0000-0300-000002000000}">
      <text>
        <r>
          <rPr>
            <b/>
            <sz val="9"/>
            <color rgb="FF000000"/>
            <rFont val="Tahoma"/>
            <family val="2"/>
          </rPr>
          <t>Autor:</t>
        </r>
        <r>
          <rPr>
            <sz val="9"/>
            <color rgb="FF000000"/>
            <rFont val="Tahoma"/>
            <family val="2"/>
          </rPr>
          <t xml:space="preserve">
</t>
        </r>
        <r>
          <rPr>
            <sz val="9"/>
            <color rgb="FF000000"/>
            <rFont val="Tahoma"/>
            <family val="2"/>
          </rPr>
          <t>Si la empresa posee caja neta introducir con signo negativo</t>
        </r>
      </text>
    </comment>
  </commentList>
</comments>
</file>

<file path=xl/sharedStrings.xml><?xml version="1.0" encoding="utf-8"?>
<sst xmlns="http://schemas.openxmlformats.org/spreadsheetml/2006/main" count="302" uniqueCount="235">
  <si>
    <t>Depreciation &amp; Amortization Expense</t>
  </si>
  <si>
    <t>Pretax Income</t>
  </si>
  <si>
    <t>Income Taxes</t>
  </si>
  <si>
    <t>Consolidated Net Income</t>
  </si>
  <si>
    <t>Minority Interest</t>
  </si>
  <si>
    <t>Net Income</t>
  </si>
  <si>
    <t>EBITDA</t>
  </si>
  <si>
    <t xml:space="preserve">EBIT </t>
  </si>
  <si>
    <t>Flujo de caja libre</t>
  </si>
  <si>
    <t>Flujo de caja libre por accion</t>
  </si>
  <si>
    <t xml:space="preserve">   tax rate</t>
  </si>
  <si>
    <t>EBIT</t>
  </si>
  <si>
    <t>Net income</t>
  </si>
  <si>
    <t>FCF</t>
  </si>
  <si>
    <t>Cotización actual</t>
  </si>
  <si>
    <t>Sales</t>
  </si>
  <si>
    <t xml:space="preserve">    EBITDA margin %</t>
  </si>
  <si>
    <t xml:space="preserve">    EBIT margin %</t>
  </si>
  <si>
    <t>Net income per share ( EPS )</t>
  </si>
  <si>
    <t>CAGR  by PER</t>
  </si>
  <si>
    <t>CAGR  by  P/FCF</t>
  </si>
  <si>
    <t>CAGR by EV/EBITDA</t>
  </si>
  <si>
    <t>CAGR  by EV/EBIT</t>
  </si>
  <si>
    <t>Enterprise Value ( EV )</t>
  </si>
  <si>
    <t>Market cap</t>
  </si>
  <si>
    <t>Valuation  ( millons ,except EPS )</t>
  </si>
  <si>
    <t>Multiple PER</t>
  </si>
  <si>
    <t>Multiple P/FCF</t>
  </si>
  <si>
    <t>Multiple EV/EBITDA</t>
  </si>
  <si>
    <t>Multiple EV/EBIT</t>
  </si>
  <si>
    <t>MARGEN EBIT</t>
  </si>
  <si>
    <t>CRECIMIENTO</t>
  </si>
  <si>
    <t>TAX RATE</t>
  </si>
  <si>
    <t xml:space="preserve">    Y/Y Growth %</t>
  </si>
  <si>
    <t>Income Statement (millons ,excepto EPS)</t>
  </si>
  <si>
    <t xml:space="preserve">    Margen beneficio neto %</t>
  </si>
  <si>
    <t>Cash flow Statement (millones ,excepto EPS)</t>
  </si>
  <si>
    <t>Intereses</t>
  </si>
  <si>
    <t>Capex (introducir manual)</t>
  </si>
  <si>
    <t>Tasas</t>
  </si>
  <si>
    <t>Retornos capital (millones ,excepto EPS)</t>
  </si>
  <si>
    <t>Interest</t>
  </si>
  <si>
    <t xml:space="preserve">(+) Goodwill </t>
  </si>
  <si>
    <t>(+) Equity</t>
  </si>
  <si>
    <t>(+) Cash and cash equivalents</t>
  </si>
  <si>
    <r>
      <rPr>
        <b/>
        <sz val="11"/>
        <color theme="1"/>
        <rFont val="Calibri"/>
        <family val="2"/>
        <scheme val="minor"/>
      </rPr>
      <t>ROE</t>
    </r>
    <r>
      <rPr>
        <sz val="11"/>
        <color theme="1"/>
        <rFont val="Calibri"/>
        <family val="2"/>
        <scheme val="minor"/>
      </rPr>
      <t xml:space="preserve"> ( net income / equity )</t>
    </r>
  </si>
  <si>
    <t>3 YEARS</t>
  </si>
  <si>
    <t>5 YEARS</t>
  </si>
  <si>
    <t>Capital empleado con goodwill</t>
  </si>
  <si>
    <t>Capital empleado sin goodwill</t>
  </si>
  <si>
    <r>
      <rPr>
        <b/>
        <sz val="11"/>
        <color theme="1"/>
        <rFont val="Calibri"/>
        <family val="2"/>
        <scheme val="minor"/>
      </rPr>
      <t>ROCE con goodwill</t>
    </r>
    <r>
      <rPr>
        <sz val="11"/>
        <color theme="1"/>
        <rFont val="Calibri"/>
        <family val="2"/>
        <scheme val="minor"/>
      </rPr>
      <t>( EBIT / Capital empleado)</t>
    </r>
  </si>
  <si>
    <r>
      <rPr>
        <b/>
        <sz val="11"/>
        <color theme="1"/>
        <rFont val="Calibri"/>
        <family val="2"/>
        <scheme val="minor"/>
      </rPr>
      <t xml:space="preserve">ROCE sin goodwill </t>
    </r>
    <r>
      <rPr>
        <sz val="11"/>
        <color theme="1"/>
        <rFont val="Calibri"/>
        <family val="2"/>
        <scheme val="minor"/>
      </rPr>
      <t>(EBIT / Capital empleado)</t>
    </r>
  </si>
  <si>
    <r>
      <rPr>
        <b/>
        <sz val="12"/>
        <rFont val="Calibri"/>
        <family val="2"/>
        <scheme val="minor"/>
      </rPr>
      <t>Interest expense/ Income</t>
    </r>
    <r>
      <rPr>
        <sz val="12"/>
        <rFont val="Calibri"/>
        <family val="2"/>
        <scheme val="minor"/>
      </rPr>
      <t xml:space="preserve"> (introducir en negativo si es un ingreso) </t>
    </r>
  </si>
  <si>
    <t>Fully diluted shares  (millions)</t>
  </si>
  <si>
    <t>La hoja excel consta de 4 pestañas y en todas hay que rellenar datos, en concreto todas aquellas casillas que esten en sombredo gris.</t>
  </si>
  <si>
    <t xml:space="preserve">Net DEBT  (-) si es caja neta </t>
  </si>
  <si>
    <t>Ventas ( sales )</t>
  </si>
  <si>
    <t>D&amp;A ( depreciacion y amortizacion)</t>
  </si>
  <si>
    <t>intereses ( o ingresos financieros)</t>
  </si>
  <si>
    <t>En la parte derecha hemos de rellenar las 3 casillas de estimaciones futuras ( crecimiento, margenes EBIT  y tasa impositiva ) casillas P11, P16, P21. La linea de intereses minoritarios hemos de rellenarla, aunque si supone poco % sobre el total del beneficio lo podemos dejar a cero.</t>
  </si>
  <si>
    <t>impuestos (income tax )</t>
  </si>
  <si>
    <t>EBIT ( operating income)</t>
  </si>
  <si>
    <t>En la pestaña de retornos sobre el capital rellenamos de nuevo las casillas, teniendo cuidado de hacerlo siempre con el mismo signo que aparezca en los informes de la empresa (recordad que si en un informe de una empresa aparece un número entre paréntesis significa signo negativo y hay que introducir con un signo de resta delante. Esto suele suceder a veces con las casillas correspondientes a la "equity".</t>
  </si>
  <si>
    <t>Tambien hemos de rellenar la parte de net debt ( deuda neta) de la empresa, que tenemos que estimar tal y como vimos en el curso avanzado. Es un dato que hemos de introducir, no se encuentra en los informes ya que es una estimacion del futuro. Si la empresa posee caja neta en vez de deuda, debemos introducir con signo negativo para reflejarlo.</t>
  </si>
  <si>
    <t>Ante todo piensa si tiene sentido los datos que introduces, usa el sentido común. No pasa nada si los datos no son exactos, la valoración no es una ciencia exacta sino mas bien una opinion. Si salen resultados muy extraños analiza todos los datos introducidos. Practica mucho te llevará varias repeticiones usar correctamente la plantilla.</t>
  </si>
  <si>
    <t>Comentario general:</t>
  </si>
  <si>
    <t>PAUTAS PARA RELLENAR LA HOJA DE EXCEL</t>
  </si>
  <si>
    <t>En las siguientes pestañas hay que rellenar:</t>
  </si>
  <si>
    <t xml:space="preserve">Hoja de Income Statement </t>
  </si>
  <si>
    <t>Hoja de Flujos de Caja</t>
  </si>
  <si>
    <t>Hoja de Retornos capital</t>
  </si>
  <si>
    <t>Hoja de Valoración</t>
  </si>
  <si>
    <t>Hemos de rellenar las parte de capex.( según las indicaciones en la clase correspondiente )</t>
  </si>
  <si>
    <t xml:space="preserve"> tenemos que introducir el precio al que cotiza, y los multiplos de valoración. ( según las indicaciones en la clase correspondiente )</t>
  </si>
  <si>
    <t>numero de acciones diluidas / intereses minoritarios</t>
  </si>
  <si>
    <t>Minoritarios (si procede)</t>
  </si>
  <si>
    <t>Deuda neta /EBITDA</t>
  </si>
  <si>
    <t>Deuda neta/equity</t>
  </si>
  <si>
    <t>Ajuste leases</t>
  </si>
  <si>
    <t>(+) Deuda leases</t>
  </si>
  <si>
    <t>PER+caja</t>
  </si>
  <si>
    <t>P/FCF +caja</t>
  </si>
  <si>
    <t>EV/EBITDA</t>
  </si>
  <si>
    <t>EV/EBIT</t>
  </si>
  <si>
    <t xml:space="preserve">(+) Deuda financiera total </t>
  </si>
  <si>
    <t xml:space="preserve"> Dividend yield </t>
  </si>
  <si>
    <t>Periodo fiscal</t>
  </si>
  <si>
    <t>2018 FY</t>
  </si>
  <si>
    <t>2019 FY</t>
  </si>
  <si>
    <t>2020 FY</t>
  </si>
  <si>
    <t>2021 FY</t>
  </si>
  <si>
    <t>2022 FY</t>
  </si>
  <si>
    <t>2023 FY</t>
  </si>
  <si>
    <t>2024 FY</t>
  </si>
  <si>
    <t>Fecha de cierre</t>
  </si>
  <si>
    <t>Divisa</t>
  </si>
  <si>
    <t>USD</t>
  </si>
  <si>
    <t>Ventas totales</t>
  </si>
  <si>
    <t>Coste de ventas</t>
  </si>
  <si>
    <t>Coste de los bienes vendidos</t>
  </si>
  <si>
    <t>Beneficio bruto</t>
  </si>
  <si>
    <t>Gastos operativos totales</t>
  </si>
  <si>
    <t>Gastos en VG&amp;A</t>
  </si>
  <si>
    <t>Gastos de I+D</t>
  </si>
  <si>
    <t>Beneficio operativo</t>
  </si>
  <si>
    <t>Gastos no operativos totales</t>
  </si>
  <si>
    <t>Gastos por intereses</t>
  </si>
  <si>
    <t>Ingresos por int. e inversiones</t>
  </si>
  <si>
    <t>Otros ingresos y gastos no operativos</t>
  </si>
  <si>
    <t>EBT excluyendo ítems inusuales</t>
  </si>
  <si>
    <t>Ítems inusuales totales</t>
  </si>
  <si>
    <t>Cargos de fusión y reestructuración</t>
  </si>
  <si>
    <t>Reducción de valor de activos</t>
  </si>
  <si>
    <t>EBT incluyendo ítems inusuales</t>
  </si>
  <si>
    <t>Gastos por impuestos</t>
  </si>
  <si>
    <t>Beneficios de operaciones continuas</t>
  </si>
  <si>
    <t>Beneficio neto total</t>
  </si>
  <si>
    <t>Beneficio neto</t>
  </si>
  <si>
    <t>Beneficio neto comunes incl. ítems extra</t>
  </si>
  <si>
    <t>Beneficio neto comunes excl. ítems extra</t>
  </si>
  <si>
    <t>EBITDAR</t>
  </si>
  <si>
    <t>EBITA</t>
  </si>
  <si>
    <t>BALANCE DE SITUACIÓN</t>
  </si>
  <si>
    <t>Efectivo e inv. a CP, Total</t>
  </si>
  <si>
    <t>Efectivo y equivalentes</t>
  </si>
  <si>
    <t>Cuentas por cobrar, Total</t>
  </si>
  <si>
    <t>Cuentas por cobrar</t>
  </si>
  <si>
    <t>Otras cuentas por cobrar</t>
  </si>
  <si>
    <t>Inventario</t>
  </si>
  <si>
    <t>Gastos anticipados</t>
  </si>
  <si>
    <t>Otros activos circ., Total</t>
  </si>
  <si>
    <t>Otros activos circulantes</t>
  </si>
  <si>
    <t>Activos circulantes</t>
  </si>
  <si>
    <t>Inmovilizado material neto</t>
  </si>
  <si>
    <t>Inmovilizado material bruto</t>
  </si>
  <si>
    <t>Depreciación acumulada</t>
  </si>
  <si>
    <t>Fondo de comercio</t>
  </si>
  <si>
    <t>Otros activos intangibles</t>
  </si>
  <si>
    <t>Otros activos, Total</t>
  </si>
  <si>
    <t>Impuesto diferido (LP)</t>
  </si>
  <si>
    <t>Cargos diferidos (LP)</t>
  </si>
  <si>
    <t>Otros activos</t>
  </si>
  <si>
    <t>Activos no circulantes</t>
  </si>
  <si>
    <t>Activos totales</t>
  </si>
  <si>
    <t>Cuentas por pagar</t>
  </si>
  <si>
    <t>Gastos devengados</t>
  </si>
  <si>
    <t>Parte circ. de la deuda</t>
  </si>
  <si>
    <t>Parte circ. arrendamientos</t>
  </si>
  <si>
    <t>Otros pasivos circulantes, Total</t>
  </si>
  <si>
    <t>Impuestos (CP)</t>
  </si>
  <si>
    <t>Ingresos no devengados (CP)</t>
  </si>
  <si>
    <t>Otros pasivos circulantes</t>
  </si>
  <si>
    <t>Pasivos circulantes</t>
  </si>
  <si>
    <t>Deuda a largo plazo</t>
  </si>
  <si>
    <t>Arrendamientos financieros (LP)</t>
  </si>
  <si>
    <t>Otros pasivos, Total</t>
  </si>
  <si>
    <t>Otros pasivos</t>
  </si>
  <si>
    <t>Pasivos no circulantes</t>
  </si>
  <si>
    <t>Pasivos totales</t>
  </si>
  <si>
    <t>Patrimonio ordinario, Total</t>
  </si>
  <si>
    <t>Acciones ordinarias</t>
  </si>
  <si>
    <t>Capital desembolsado adicional</t>
  </si>
  <si>
    <t>Beneficio no distribuido</t>
  </si>
  <si>
    <t>Resultado global y otros</t>
  </si>
  <si>
    <t>Patrimonio neto</t>
  </si>
  <si>
    <t>Total pasivos y patrimonio neto</t>
  </si>
  <si>
    <t>Valor en libros tangible</t>
  </si>
  <si>
    <t>Deuda total</t>
  </si>
  <si>
    <t>Deuda neta</t>
  </si>
  <si>
    <t>Fondo de maniobra</t>
  </si>
  <si>
    <t>Fondo de maniobra neto</t>
  </si>
  <si>
    <t>Capital total</t>
  </si>
  <si>
    <t>Capital invertido</t>
  </si>
  <si>
    <t>Capital empleado</t>
  </si>
  <si>
    <t>Estado de flujos de caja</t>
  </si>
  <si>
    <t>D&amp;A total</t>
  </si>
  <si>
    <t>Amortización de intangibles</t>
  </si>
  <si>
    <t>Depreciación y amortización</t>
  </si>
  <si>
    <t>Amortización de cargos diferidos</t>
  </si>
  <si>
    <t>Otros elementos no monetarios</t>
  </si>
  <si>
    <t>Venta de activos</t>
  </si>
  <si>
    <t>Costes de reestructuración</t>
  </si>
  <si>
    <t>Retribución en acciones</t>
  </si>
  <si>
    <t>Beneficio fiscal retrib. acciones</t>
  </si>
  <si>
    <t>Provisión insolvencia</t>
  </si>
  <si>
    <t>Otras actividades operativas</t>
  </si>
  <si>
    <t>Variación activos operativos</t>
  </si>
  <si>
    <t>Var. cuentas por cobrar</t>
  </si>
  <si>
    <t>Variación inventario</t>
  </si>
  <si>
    <t>Var. cuentas por pagar</t>
  </si>
  <si>
    <t>Variación impuestos</t>
  </si>
  <si>
    <t>Var. otros activos</t>
  </si>
  <si>
    <t>Flujo operativo</t>
  </si>
  <si>
    <t>Gastos de capital (Capex)</t>
  </si>
  <si>
    <t>Venta de activos tangibles</t>
  </si>
  <si>
    <t>Flujo de inversión</t>
  </si>
  <si>
    <t>Flujo neto de deuda</t>
  </si>
  <si>
    <t>Deuda total emitida</t>
  </si>
  <si>
    <t>Deuda total pagada</t>
  </si>
  <si>
    <t>Flujo neto de acciones</t>
  </si>
  <si>
    <t>Emisión de acciones comunes</t>
  </si>
  <si>
    <t>Recompra de acciones comunes</t>
  </si>
  <si>
    <t>Dividendos totales</t>
  </si>
  <si>
    <t>Otras act. de financiación</t>
  </si>
  <si>
    <t>Flujo de financiación</t>
  </si>
  <si>
    <t>Ajustes por tipo de cambio</t>
  </si>
  <si>
    <t>Variación neta de efectivo</t>
  </si>
  <si>
    <t>Efectivo y equiv. - Fin período</t>
  </si>
  <si>
    <t>Var. capital circulante</t>
  </si>
  <si>
    <t>FCF apalancado</t>
  </si>
  <si>
    <t>FCF no apalancado</t>
  </si>
  <si>
    <t>FCF simple</t>
  </si>
  <si>
    <t>Ingresos propios</t>
  </si>
  <si>
    <t>DATOS POR ACCIÓN</t>
  </si>
  <si>
    <t>Nº Acciones básicas</t>
  </si>
  <si>
    <t>Nº Acciones diluidas</t>
  </si>
  <si>
    <t>BPA básico</t>
  </si>
  <si>
    <t>BPA diluido</t>
  </si>
  <si>
    <t>FCF por acción</t>
  </si>
  <si>
    <t>Ing. propios por acción</t>
  </si>
  <si>
    <t>DPA total</t>
  </si>
  <si>
    <t>CUENTA DE RESULTADOS</t>
  </si>
  <si>
    <t>Número de acciones</t>
  </si>
  <si>
    <t>Precio</t>
  </si>
  <si>
    <t>porcentaje de recompra</t>
  </si>
  <si>
    <t>Cuanta caja en recompras</t>
  </si>
  <si>
    <t>Cuantas acciones recompran</t>
  </si>
  <si>
    <t xml:space="preserve">Caja </t>
  </si>
  <si>
    <t>Caja restante</t>
  </si>
  <si>
    <t>Mid Case</t>
  </si>
  <si>
    <t>3Y</t>
  </si>
  <si>
    <t>5Y</t>
  </si>
  <si>
    <t>Bull case</t>
  </si>
  <si>
    <t>Bear</t>
  </si>
  <si>
    <t>3Y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</si>
</sst>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0.0;[Red]\-#,##0.0"/>
    <numFmt numFmtId="165" formatCode="0.0"/>
    <numFmt numFmtId="166" formatCode="0.0%"/>
    <numFmt numFmtId="167" formatCode="_-[$$-2809]* #,##0_-;\-[$$-2809]* #,##0_-;_-[$$-2809]* &quot;-&quot;??_-;_-@_-"/>
    <numFmt numFmtId="168" formatCode="_-[$$-409]* #,##0.00_ ;_-[$$-409]* \-#,##0.00\ ;_-[$$-409]* &quot;-&quot;??_ ;_-@_ "/>
  </numFmts>
  <fonts count="34" x14ac:knownFonts="1">
    <font>
      <sz val="11"/>
      <color theme="1"/>
      <name val="Calibri"/>
      <family val="2"/>
      <scheme val="minor"/>
    </font>
    <font>
      <sz val="11"/>
      <color theme="1"/>
      <name val="Calibri"/>
      <family val="2"/>
      <scheme val="minor"/>
    </font>
    <font>
      <b/>
      <sz val="11"/>
      <color theme="1"/>
      <name val="Calibri"/>
      <family val="2"/>
      <scheme val="minor"/>
    </font>
    <font>
      <b/>
      <sz val="14"/>
      <color rgb="FF17365C"/>
      <name val="Trebuchet MS"/>
      <family val="2"/>
    </font>
    <font>
      <b/>
      <sz val="9"/>
      <name val="Trebuchet MS"/>
      <family val="2"/>
    </font>
    <font>
      <b/>
      <sz val="14"/>
      <color theme="3" tint="0.59999389629810485"/>
      <name val="Trebuchet MS"/>
      <family val="2"/>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b/>
      <sz val="11"/>
      <name val="Trebuchet MS"/>
      <family val="2"/>
    </font>
    <font>
      <b/>
      <sz val="12"/>
      <name val="Trebuchet MS"/>
      <family val="2"/>
    </font>
    <font>
      <i/>
      <sz val="12"/>
      <color theme="1"/>
      <name val="Calibri"/>
      <family val="2"/>
      <scheme val="minor"/>
    </font>
    <font>
      <b/>
      <i/>
      <sz val="14"/>
      <color theme="1"/>
      <name val="Calibri"/>
      <family val="2"/>
      <scheme val="minor"/>
    </font>
    <font>
      <sz val="12"/>
      <color theme="1"/>
      <name val="Calibri"/>
      <family val="2"/>
      <scheme val="minor"/>
    </font>
    <font>
      <b/>
      <sz val="11"/>
      <name val="Calibri"/>
      <family val="2"/>
      <scheme val="minor"/>
    </font>
    <font>
      <b/>
      <sz val="9"/>
      <name val="Calibri"/>
      <family val="2"/>
      <scheme val="minor"/>
    </font>
    <font>
      <sz val="11"/>
      <name val="Calibri"/>
      <family val="2"/>
      <scheme val="minor"/>
    </font>
    <font>
      <b/>
      <sz val="12"/>
      <color rgb="FF17365C"/>
      <name val="Calibri"/>
      <family val="2"/>
      <scheme val="minor"/>
    </font>
    <font>
      <b/>
      <sz val="12"/>
      <name val="Calibri"/>
      <family val="2"/>
      <scheme val="minor"/>
    </font>
    <font>
      <sz val="12"/>
      <name val="Calibri"/>
      <family val="2"/>
      <scheme val="minor"/>
    </font>
    <font>
      <i/>
      <sz val="12"/>
      <name val="Calibri"/>
      <family val="2"/>
      <scheme val="minor"/>
    </font>
    <font>
      <b/>
      <sz val="11"/>
      <color rgb="FF17365C"/>
      <name val="Calibri"/>
      <family val="2"/>
      <scheme val="minor"/>
    </font>
    <font>
      <i/>
      <sz val="11"/>
      <name val="Calibri"/>
      <family val="2"/>
      <scheme val="minor"/>
    </font>
    <font>
      <sz val="11"/>
      <color rgb="FF000000"/>
      <name val="Calibri"/>
      <family val="2"/>
      <scheme val="minor"/>
    </font>
    <font>
      <sz val="11"/>
      <name val="Trebuchet MS"/>
      <family val="2"/>
    </font>
    <font>
      <sz val="9"/>
      <name val="Calibri"/>
      <family val="2"/>
      <scheme val="minor"/>
    </font>
    <font>
      <b/>
      <sz val="16"/>
      <color theme="1"/>
      <name val="Calibri"/>
      <family val="2"/>
      <scheme val="minor"/>
    </font>
    <font>
      <b/>
      <u/>
      <sz val="18"/>
      <color theme="1"/>
      <name val="Calibri"/>
      <family val="2"/>
      <scheme val="minor"/>
    </font>
    <font>
      <sz val="12"/>
      <color rgb="FF000000"/>
      <name val="Calibri"/>
      <family val="2"/>
    </font>
    <font>
      <b/>
      <sz val="9"/>
      <color rgb="FF000000"/>
      <name val="Tahoma"/>
      <family val="2"/>
    </font>
    <font>
      <sz val="9"/>
      <color rgb="FF000000"/>
      <name val="Tahoma"/>
      <family val="2"/>
    </font>
    <font>
      <i/>
      <sz val="11"/>
      <color theme="1"/>
      <name val="Calibri"/>
      <family val="2"/>
      <scheme val="minor"/>
    </font>
    <font>
      <b/>
      <i/>
      <sz val="11"/>
      <color theme="1"/>
      <name val="Calibri"/>
      <family val="2"/>
      <scheme val="minor"/>
    </font>
  </fonts>
  <fills count="9">
    <fill>
      <patternFill patternType="none"/>
    </fill>
    <fill>
      <patternFill patternType="gray125"/>
    </fill>
    <fill>
      <patternFill patternType="solid">
        <fgColor rgb="FF00B0F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rgb="FFFFFFFF"/>
      </patternFill>
    </fill>
    <fill>
      <patternFill patternType="solid">
        <fgColor theme="3" tint="0.39997558519241921"/>
        <bgColor indexed="64"/>
      </patternFill>
    </fill>
    <fill>
      <patternFill patternType="solid">
        <fgColor theme="3" tint="0.59999389629810485"/>
        <bgColor indexed="64"/>
      </patternFill>
    </fill>
  </fills>
  <borders count="38">
    <border>
      <left/>
      <right/>
      <top/>
      <bottom/>
      <diagonal/>
    </border>
    <border>
      <left/>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top/>
      <bottom style="medium">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CCCCCC"/>
      </top>
      <bottom/>
      <diagonal/>
    </border>
    <border>
      <left style="thin">
        <color indexed="64"/>
      </left>
      <right/>
      <top/>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style="medium">
        <color indexed="64"/>
      </right>
      <top/>
      <bottom style="thin">
        <color indexed="64"/>
      </bottom>
      <diagonal/>
    </border>
    <border>
      <left/>
      <right style="medium">
        <color indexed="64"/>
      </right>
      <top/>
      <bottom style="thin">
        <color rgb="FF000000"/>
      </bottom>
      <diagonal/>
    </border>
    <border>
      <left/>
      <right style="medium">
        <color indexed="64"/>
      </right>
      <top style="thin">
        <color rgb="FF000000"/>
      </top>
      <bottom/>
      <diagonal/>
    </border>
    <border>
      <left style="medium">
        <color indexed="64"/>
      </left>
      <right style="medium">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rgb="FF000000"/>
      </top>
      <bottom/>
      <diagonal/>
    </border>
    <border>
      <left/>
      <right style="thin">
        <color indexed="64"/>
      </right>
      <top/>
      <bottom style="medium">
        <color indexed="64"/>
      </bottom>
      <diagonal/>
    </border>
    <border>
      <left style="medium">
        <color indexed="64"/>
      </left>
      <right/>
      <top/>
      <bottom style="thin">
        <color rgb="FF000000"/>
      </bottom>
      <diagonal/>
    </border>
    <border>
      <left style="medium">
        <color rgb="FF000000"/>
      </left>
      <right style="medium">
        <color rgb="FF000000"/>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98">
    <xf numFmtId="0" fontId="0" fillId="0" borderId="0" xfId="0"/>
    <xf numFmtId="0" fontId="0" fillId="4" borderId="0" xfId="0" applyFill="1"/>
    <xf numFmtId="0" fontId="0" fillId="4" borderId="0" xfId="0" applyFill="1" applyAlignment="1">
      <alignment horizontal="center" wrapText="1"/>
    </xf>
    <xf numFmtId="0" fontId="8" fillId="4" borderId="0" xfId="0" applyFont="1" applyFill="1"/>
    <xf numFmtId="0" fontId="0" fillId="0" borderId="0" xfId="0" applyAlignment="1">
      <alignment vertical="center"/>
    </xf>
    <xf numFmtId="0" fontId="2" fillId="4" borderId="0" xfId="0" applyFont="1" applyFill="1" applyAlignment="1">
      <alignment horizontal="left" vertical="center"/>
    </xf>
    <xf numFmtId="0" fontId="2" fillId="4" borderId="0" xfId="0" applyFont="1" applyFill="1" applyAlignment="1">
      <alignment vertical="center"/>
    </xf>
    <xf numFmtId="9" fontId="0" fillId="0" borderId="0" xfId="0" applyNumberFormat="1" applyAlignment="1">
      <alignment horizontal="left"/>
    </xf>
    <xf numFmtId="0" fontId="0" fillId="5" borderId="2" xfId="0" applyFill="1" applyBorder="1" applyAlignment="1">
      <alignment horizontal="center" vertical="center"/>
    </xf>
    <xf numFmtId="9" fontId="0" fillId="5" borderId="2" xfId="1" applyFont="1" applyFill="1" applyBorder="1" applyAlignment="1">
      <alignment horizontal="center" vertical="center"/>
    </xf>
    <xf numFmtId="2" fontId="2" fillId="4" borderId="9" xfId="0" applyNumberFormat="1" applyFont="1" applyFill="1" applyBorder="1" applyAlignment="1">
      <alignment horizontal="center" vertical="center" wrapText="1"/>
    </xf>
    <xf numFmtId="1" fontId="2" fillId="4" borderId="10" xfId="0" applyNumberFormat="1" applyFont="1" applyFill="1" applyBorder="1" applyAlignment="1">
      <alignment horizontal="center" vertical="center" wrapText="1"/>
    </xf>
    <xf numFmtId="0" fontId="0" fillId="4" borderId="0" xfId="0" applyFill="1" applyAlignment="1">
      <alignment vertical="center"/>
    </xf>
    <xf numFmtId="0" fontId="12" fillId="5" borderId="2" xfId="0" applyFont="1" applyFill="1" applyBorder="1" applyAlignment="1">
      <alignment horizontal="center" vertical="center" wrapText="1"/>
    </xf>
    <xf numFmtId="0" fontId="2" fillId="4" borderId="0" xfId="0" applyFont="1" applyFill="1"/>
    <xf numFmtId="166" fontId="0" fillId="5" borderId="2" xfId="1" applyNumberFormat="1" applyFont="1" applyFill="1" applyBorder="1" applyAlignment="1">
      <alignment horizontal="center" vertical="center"/>
    </xf>
    <xf numFmtId="0" fontId="0" fillId="4" borderId="0" xfId="0" applyFill="1" applyAlignment="1">
      <alignment horizontal="center" vertical="center"/>
    </xf>
    <xf numFmtId="9" fontId="0" fillId="4" borderId="0" xfId="1" applyFont="1" applyFill="1" applyBorder="1" applyAlignment="1">
      <alignment horizontal="center" vertical="center"/>
    </xf>
    <xf numFmtId="9" fontId="0" fillId="4" borderId="7" xfId="1" applyFont="1" applyFill="1" applyBorder="1" applyAlignment="1">
      <alignment horizontal="center" vertical="center"/>
    </xf>
    <xf numFmtId="9" fontId="0" fillId="4" borderId="12" xfId="1" applyFont="1" applyFill="1" applyBorder="1" applyAlignment="1">
      <alignment horizontal="center" vertical="center"/>
    </xf>
    <xf numFmtId="9" fontId="0" fillId="4" borderId="17" xfId="1" applyFont="1" applyFill="1" applyBorder="1" applyAlignment="1">
      <alignment horizontal="center" vertical="center"/>
    </xf>
    <xf numFmtId="2" fontId="3" fillId="0" borderId="0" xfId="0" applyNumberFormat="1" applyFont="1" applyAlignment="1">
      <alignment vertical="center"/>
    </xf>
    <xf numFmtId="0" fontId="9" fillId="4" borderId="4" xfId="0" applyFont="1" applyFill="1" applyBorder="1" applyAlignment="1">
      <alignment vertical="center"/>
    </xf>
    <xf numFmtId="0" fontId="9" fillId="4" borderId="5" xfId="0" applyFont="1" applyFill="1" applyBorder="1" applyAlignment="1">
      <alignment vertical="center"/>
    </xf>
    <xf numFmtId="0" fontId="14" fillId="4" borderId="0" xfId="0" applyFont="1" applyFill="1"/>
    <xf numFmtId="0" fontId="14" fillId="0" borderId="0" xfId="0" applyFont="1"/>
    <xf numFmtId="2" fontId="15" fillId="4" borderId="0" xfId="0" applyNumberFormat="1" applyFont="1" applyFill="1" applyAlignment="1">
      <alignment vertical="center"/>
    </xf>
    <xf numFmtId="0" fontId="14" fillId="0" borderId="0" xfId="0" applyFont="1" applyAlignment="1">
      <alignment vertical="center"/>
    </xf>
    <xf numFmtId="1" fontId="15" fillId="2" borderId="18" xfId="0" applyNumberFormat="1" applyFont="1" applyFill="1" applyBorder="1" applyAlignment="1">
      <alignment horizontal="center" vertical="center"/>
    </xf>
    <xf numFmtId="1" fontId="15" fillId="2" borderId="19" xfId="0" applyNumberFormat="1" applyFont="1" applyFill="1" applyBorder="1" applyAlignment="1">
      <alignment horizontal="center" vertical="center"/>
    </xf>
    <xf numFmtId="2" fontId="4" fillId="4" borderId="13" xfId="0" applyNumberFormat="1" applyFont="1" applyFill="1" applyBorder="1" applyAlignment="1">
      <alignment vertical="center"/>
    </xf>
    <xf numFmtId="2" fontId="4" fillId="4" borderId="14" xfId="0" applyNumberFormat="1" applyFont="1" applyFill="1" applyBorder="1" applyAlignment="1">
      <alignment vertical="center"/>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2" fontId="0" fillId="4" borderId="7" xfId="0" applyNumberFormat="1" applyFill="1" applyBorder="1" applyAlignment="1">
      <alignment horizontal="center" vertical="center" wrapText="1"/>
    </xf>
    <xf numFmtId="2" fontId="0" fillId="4" borderId="17" xfId="0" applyNumberFormat="1" applyFill="1" applyBorder="1" applyAlignment="1">
      <alignment horizontal="center" vertical="center" wrapText="1"/>
    </xf>
    <xf numFmtId="2" fontId="11" fillId="4" borderId="13" xfId="0" applyNumberFormat="1" applyFont="1" applyFill="1" applyBorder="1"/>
    <xf numFmtId="1" fontId="2" fillId="4" borderId="24" xfId="0" applyNumberFormat="1" applyFont="1" applyFill="1" applyBorder="1" applyAlignment="1">
      <alignment horizontal="center" vertical="center" wrapText="1"/>
    </xf>
    <xf numFmtId="1" fontId="2" fillId="4" borderId="8" xfId="0" applyNumberFormat="1" applyFont="1" applyFill="1" applyBorder="1" applyAlignment="1">
      <alignment horizontal="center" vertical="center" wrapText="1"/>
    </xf>
    <xf numFmtId="1" fontId="2" fillId="4" borderId="23" xfId="0" applyNumberFormat="1" applyFont="1" applyFill="1" applyBorder="1" applyAlignment="1">
      <alignment horizontal="center" vertical="center" wrapText="1"/>
    </xf>
    <xf numFmtId="9" fontId="0" fillId="4" borderId="0" xfId="1" applyFont="1" applyFill="1" applyBorder="1" applyAlignment="1">
      <alignment horizontal="center" vertical="center" wrapText="1"/>
    </xf>
    <xf numFmtId="9" fontId="0" fillId="4" borderId="12" xfId="1" applyFont="1" applyFill="1" applyBorder="1" applyAlignment="1">
      <alignment horizontal="center" vertical="center" wrapText="1"/>
    </xf>
    <xf numFmtId="0" fontId="0" fillId="4" borderId="14" xfId="0" applyFill="1" applyBorder="1" applyAlignment="1">
      <alignment horizontal="center" wrapText="1"/>
    </xf>
    <xf numFmtId="0" fontId="0" fillId="4" borderId="15" xfId="0" applyFill="1" applyBorder="1" applyAlignment="1">
      <alignment horizontal="center" wrapText="1"/>
    </xf>
    <xf numFmtId="1" fontId="0" fillId="4" borderId="25" xfId="0" applyNumberFormat="1" applyFill="1" applyBorder="1" applyAlignment="1">
      <alignment horizontal="center" vertical="center" wrapText="1"/>
    </xf>
    <xf numFmtId="1" fontId="0" fillId="4" borderId="30" xfId="0" applyNumberFormat="1" applyFill="1" applyBorder="1" applyAlignment="1">
      <alignment horizontal="center" vertical="center" wrapText="1"/>
    </xf>
    <xf numFmtId="1" fontId="0" fillId="4" borderId="31" xfId="0" applyNumberFormat="1" applyFill="1" applyBorder="1" applyAlignment="1">
      <alignment horizontal="center" vertical="center" wrapText="1"/>
    </xf>
    <xf numFmtId="1" fontId="0" fillId="4" borderId="0" xfId="0" applyNumberFormat="1" applyFill="1" applyAlignment="1">
      <alignment horizontal="center" vertical="center" wrapText="1"/>
    </xf>
    <xf numFmtId="1" fontId="0" fillId="4" borderId="12" xfId="0" applyNumberFormat="1" applyFill="1" applyBorder="1" applyAlignment="1">
      <alignment horizontal="center" vertical="center" wrapText="1"/>
    </xf>
    <xf numFmtId="165" fontId="0" fillId="4" borderId="31" xfId="0" applyNumberFormat="1" applyFill="1" applyBorder="1" applyAlignment="1">
      <alignment horizontal="center" vertical="center" wrapText="1"/>
    </xf>
    <xf numFmtId="165" fontId="0" fillId="4" borderId="8" xfId="0" applyNumberFormat="1" applyFill="1" applyBorder="1" applyAlignment="1">
      <alignment horizontal="center" vertical="center" wrapText="1"/>
    </xf>
    <xf numFmtId="165" fontId="0" fillId="4" borderId="23" xfId="0" applyNumberFormat="1" applyFill="1" applyBorder="1" applyAlignment="1">
      <alignment horizontal="center" vertical="center" wrapText="1"/>
    </xf>
    <xf numFmtId="0" fontId="0" fillId="4" borderId="0" xfId="0" applyFill="1" applyAlignment="1">
      <alignment horizontal="center" vertical="center" wrapText="1"/>
    </xf>
    <xf numFmtId="165" fontId="0" fillId="4" borderId="0" xfId="0" applyNumberFormat="1" applyFill="1" applyAlignment="1">
      <alignment horizontal="center" vertical="center" wrapText="1"/>
    </xf>
    <xf numFmtId="165" fontId="0" fillId="4" borderId="12" xfId="0" applyNumberFormat="1" applyFill="1" applyBorder="1" applyAlignment="1">
      <alignment horizontal="center" vertical="center" wrapText="1"/>
    </xf>
    <xf numFmtId="2" fontId="19" fillId="4" borderId="3" xfId="0" applyNumberFormat="1" applyFont="1" applyFill="1" applyBorder="1" applyAlignment="1">
      <alignment vertical="center"/>
    </xf>
    <xf numFmtId="2" fontId="19" fillId="4" borderId="4" xfId="0" applyNumberFormat="1" applyFont="1" applyFill="1" applyBorder="1" applyAlignment="1">
      <alignment horizontal="left" vertical="center"/>
    </xf>
    <xf numFmtId="0" fontId="8" fillId="4" borderId="4" xfId="0" applyFont="1" applyFill="1" applyBorder="1" applyAlignment="1">
      <alignment horizontal="left" vertical="center"/>
    </xf>
    <xf numFmtId="0" fontId="14" fillId="4" borderId="5" xfId="0" applyFont="1" applyFill="1" applyBorder="1" applyAlignment="1">
      <alignment horizontal="left" vertical="center"/>
    </xf>
    <xf numFmtId="2" fontId="10" fillId="4" borderId="13" xfId="0" applyNumberFormat="1" applyFont="1" applyFill="1" applyBorder="1" applyAlignment="1">
      <alignment horizontal="center"/>
    </xf>
    <xf numFmtId="2" fontId="10" fillId="4" borderId="14" xfId="0" applyNumberFormat="1" applyFont="1" applyFill="1" applyBorder="1" applyAlignment="1">
      <alignment horizontal="center"/>
    </xf>
    <xf numFmtId="2" fontId="19" fillId="4" borderId="13" xfId="0" applyNumberFormat="1" applyFont="1" applyFill="1" applyBorder="1" applyAlignment="1">
      <alignment vertical="center"/>
    </xf>
    <xf numFmtId="2" fontId="20" fillId="4" borderId="16" xfId="0" applyNumberFormat="1" applyFont="1" applyFill="1" applyBorder="1" applyAlignment="1">
      <alignment horizontal="left" vertical="center"/>
    </xf>
    <xf numFmtId="2" fontId="20" fillId="4" borderId="0" xfId="0" applyNumberFormat="1" applyFont="1" applyFill="1" applyAlignment="1">
      <alignment horizontal="left" vertical="center"/>
    </xf>
    <xf numFmtId="2" fontId="19" fillId="4" borderId="0" xfId="0" applyNumberFormat="1" applyFont="1" applyFill="1" applyAlignment="1">
      <alignment horizontal="left" vertical="center"/>
    </xf>
    <xf numFmtId="0" fontId="0" fillId="0" borderId="0" xfId="0" applyAlignment="1">
      <alignment horizontal="center" vertical="center"/>
    </xf>
    <xf numFmtId="2" fontId="15" fillId="4" borderId="14" xfId="0" applyNumberFormat="1" applyFont="1" applyFill="1" applyBorder="1" applyAlignment="1">
      <alignment horizontal="center" vertical="center"/>
    </xf>
    <xf numFmtId="38" fontId="15" fillId="4" borderId="0" xfId="0" applyNumberFormat="1" applyFont="1" applyFill="1" applyAlignment="1">
      <alignment horizontal="center" vertical="center"/>
    </xf>
    <xf numFmtId="38" fontId="15" fillId="4" borderId="12" xfId="0" applyNumberFormat="1" applyFont="1" applyFill="1" applyBorder="1" applyAlignment="1">
      <alignment horizontal="center" vertical="center"/>
    </xf>
    <xf numFmtId="9" fontId="23" fillId="4" borderId="0" xfId="1" applyFont="1" applyFill="1" applyBorder="1" applyAlignment="1" applyProtection="1">
      <alignment horizontal="center" vertical="center"/>
    </xf>
    <xf numFmtId="9" fontId="23" fillId="4" borderId="8" xfId="1" applyFont="1" applyFill="1" applyBorder="1" applyAlignment="1" applyProtection="1">
      <alignment horizontal="center" vertical="center"/>
    </xf>
    <xf numFmtId="9" fontId="23" fillId="4" borderId="23" xfId="1" applyFont="1" applyFill="1" applyBorder="1" applyAlignment="1" applyProtection="1">
      <alignment horizontal="center" vertical="center"/>
    </xf>
    <xf numFmtId="40" fontId="17" fillId="4" borderId="0" xfId="0" applyNumberFormat="1" applyFont="1" applyFill="1" applyAlignment="1">
      <alignment horizontal="center" vertical="center"/>
    </xf>
    <xf numFmtId="2" fontId="17" fillId="4" borderId="0" xfId="0" applyNumberFormat="1" applyFont="1" applyFill="1" applyAlignment="1">
      <alignment horizontal="center" vertical="center"/>
    </xf>
    <xf numFmtId="164" fontId="15" fillId="4" borderId="0" xfId="0" applyNumberFormat="1" applyFont="1" applyFill="1" applyAlignment="1">
      <alignment horizontal="center" vertical="center"/>
    </xf>
    <xf numFmtId="9" fontId="23" fillId="4" borderId="12" xfId="1" applyFont="1" applyFill="1" applyBorder="1" applyAlignment="1" applyProtection="1">
      <alignment horizontal="center" vertical="center"/>
    </xf>
    <xf numFmtId="38" fontId="17" fillId="4" borderId="0" xfId="0" applyNumberFormat="1" applyFont="1" applyFill="1" applyAlignment="1">
      <alignment horizontal="center" vertical="center"/>
    </xf>
    <xf numFmtId="38" fontId="17" fillId="4" borderId="12" xfId="0" applyNumberFormat="1" applyFont="1" applyFill="1" applyBorder="1" applyAlignment="1">
      <alignment horizontal="center" vertical="center"/>
    </xf>
    <xf numFmtId="2" fontId="17" fillId="4" borderId="27" xfId="0" applyNumberFormat="1" applyFont="1" applyFill="1" applyBorder="1" applyAlignment="1">
      <alignment horizontal="center" vertical="center"/>
    </xf>
    <xf numFmtId="38" fontId="17" fillId="4" borderId="1" xfId="0" applyNumberFormat="1" applyFont="1" applyFill="1" applyBorder="1" applyAlignment="1">
      <alignment horizontal="center" vertical="center"/>
    </xf>
    <xf numFmtId="38" fontId="17" fillId="4" borderId="28" xfId="0" applyNumberFormat="1" applyFont="1" applyFill="1" applyBorder="1" applyAlignment="1">
      <alignment horizontal="center" vertical="center"/>
    </xf>
    <xf numFmtId="38" fontId="15" fillId="4" borderId="1" xfId="0" applyNumberFormat="1" applyFont="1" applyFill="1" applyBorder="1" applyAlignment="1">
      <alignment horizontal="center" vertical="center"/>
    </xf>
    <xf numFmtId="38" fontId="15" fillId="4" borderId="28" xfId="0" applyNumberFormat="1" applyFont="1" applyFill="1" applyBorder="1" applyAlignment="1">
      <alignment horizontal="center" vertical="center"/>
    </xf>
    <xf numFmtId="40" fontId="15" fillId="4" borderId="0" xfId="0" applyNumberFormat="1" applyFont="1" applyFill="1" applyAlignment="1">
      <alignment horizontal="center" vertical="center"/>
    </xf>
    <xf numFmtId="40" fontId="15" fillId="4" borderId="12" xfId="0" applyNumberFormat="1" applyFont="1" applyFill="1" applyBorder="1" applyAlignment="1">
      <alignment horizontal="center" vertical="center"/>
    </xf>
    <xf numFmtId="38" fontId="17" fillId="5" borderId="7" xfId="0" applyNumberFormat="1" applyFont="1" applyFill="1" applyBorder="1" applyAlignment="1">
      <alignment horizontal="center" vertical="center"/>
    </xf>
    <xf numFmtId="2" fontId="15" fillId="4" borderId="0" xfId="0" applyNumberFormat="1" applyFont="1" applyFill="1" applyAlignment="1">
      <alignment horizontal="center" vertical="center"/>
    </xf>
    <xf numFmtId="1" fontId="15" fillId="3" borderId="19" xfId="0" applyNumberFormat="1" applyFont="1" applyFill="1" applyBorder="1" applyAlignment="1">
      <alignment horizontal="center" vertical="center"/>
    </xf>
    <xf numFmtId="2" fontId="15" fillId="4" borderId="9" xfId="0" applyNumberFormat="1" applyFont="1" applyFill="1" applyBorder="1" applyAlignment="1">
      <alignment vertical="center"/>
    </xf>
    <xf numFmtId="1" fontId="15" fillId="4" borderId="0" xfId="0" applyNumberFormat="1" applyFont="1" applyFill="1" applyAlignment="1">
      <alignment horizontal="center" vertical="center"/>
    </xf>
    <xf numFmtId="1" fontId="15" fillId="4" borderId="9" xfId="0" applyNumberFormat="1" applyFont="1" applyFill="1" applyBorder="1" applyAlignment="1">
      <alignment horizontal="center" vertical="center"/>
    </xf>
    <xf numFmtId="1" fontId="15" fillId="4" borderId="11" xfId="0" applyNumberFormat="1" applyFont="1" applyFill="1" applyBorder="1" applyAlignment="1">
      <alignment horizontal="center" vertical="center"/>
    </xf>
    <xf numFmtId="0" fontId="14" fillId="0" borderId="4" xfId="0" applyFont="1" applyBorder="1"/>
    <xf numFmtId="2" fontId="19" fillId="4" borderId="26" xfId="0" applyNumberFormat="1" applyFont="1" applyFill="1" applyBorder="1" applyAlignment="1">
      <alignment horizontal="left" vertical="center"/>
    </xf>
    <xf numFmtId="0" fontId="0" fillId="4" borderId="30" xfId="0" applyFill="1" applyBorder="1" applyAlignment="1">
      <alignment horizontal="center" vertical="center" wrapText="1"/>
    </xf>
    <xf numFmtId="0" fontId="0" fillId="4" borderId="11" xfId="0" applyFill="1" applyBorder="1" applyAlignment="1">
      <alignment horizontal="center" vertical="center" wrapText="1"/>
    </xf>
    <xf numFmtId="2" fontId="19" fillId="4" borderId="29" xfId="0" applyNumberFormat="1" applyFont="1" applyFill="1" applyBorder="1" applyAlignment="1">
      <alignment vertical="center"/>
    </xf>
    <xf numFmtId="9" fontId="2" fillId="2" borderId="5" xfId="1" applyFont="1" applyFill="1" applyBorder="1" applyAlignment="1">
      <alignment horizontal="center" vertical="center" wrapText="1"/>
    </xf>
    <xf numFmtId="1" fontId="15" fillId="4" borderId="6" xfId="0" applyNumberFormat="1" applyFont="1" applyFill="1" applyBorder="1" applyAlignment="1">
      <alignment horizontal="center" vertical="center"/>
    </xf>
    <xf numFmtId="2" fontId="15" fillId="4" borderId="6" xfId="0" applyNumberFormat="1" applyFont="1" applyFill="1" applyBorder="1" applyAlignment="1">
      <alignment vertical="center"/>
    </xf>
    <xf numFmtId="0" fontId="0" fillId="4" borderId="12" xfId="0" applyFill="1" applyBorder="1" applyAlignment="1">
      <alignment horizontal="center" vertical="center" wrapText="1"/>
    </xf>
    <xf numFmtId="1" fontId="15" fillId="4" borderId="12" xfId="0" applyNumberFormat="1" applyFont="1" applyFill="1" applyBorder="1" applyAlignment="1">
      <alignment horizontal="center" vertical="center"/>
    </xf>
    <xf numFmtId="2" fontId="2" fillId="4" borderId="12" xfId="0" applyNumberFormat="1" applyFont="1" applyFill="1" applyBorder="1" applyAlignment="1">
      <alignment horizontal="center" vertical="center" wrapText="1"/>
    </xf>
    <xf numFmtId="1" fontId="15" fillId="4" borderId="31" xfId="0" applyNumberFormat="1" applyFont="1" applyFill="1" applyBorder="1" applyAlignment="1">
      <alignment horizontal="center" vertical="center"/>
    </xf>
    <xf numFmtId="0" fontId="0" fillId="4" borderId="31" xfId="0" applyFill="1" applyBorder="1" applyAlignment="1">
      <alignment horizontal="center" vertical="center" wrapText="1"/>
    </xf>
    <xf numFmtId="0" fontId="0" fillId="4" borderId="7" xfId="0" applyFill="1" applyBorder="1" applyAlignment="1">
      <alignment horizontal="center" vertical="center" wrapText="1"/>
    </xf>
    <xf numFmtId="0" fontId="2" fillId="4" borderId="7" xfId="0" applyFont="1" applyFill="1" applyBorder="1" applyAlignment="1">
      <alignment vertical="center"/>
    </xf>
    <xf numFmtId="0" fontId="2" fillId="4" borderId="20" xfId="0" applyFont="1" applyFill="1" applyBorder="1" applyAlignment="1">
      <alignment horizontal="center" vertical="center" wrapText="1"/>
    </xf>
    <xf numFmtId="0" fontId="0" fillId="4" borderId="25" xfId="0" applyFill="1" applyBorder="1" applyAlignment="1">
      <alignment vertical="center"/>
    </xf>
    <xf numFmtId="0" fontId="2" fillId="4" borderId="2" xfId="0" applyFont="1" applyFill="1" applyBorder="1" applyAlignment="1">
      <alignment horizontal="center" vertical="center" wrapText="1"/>
    </xf>
    <xf numFmtId="0" fontId="8" fillId="4" borderId="0" xfId="0" applyFont="1" applyFill="1" applyAlignment="1">
      <alignment vertical="center"/>
    </xf>
    <xf numFmtId="165" fontId="0" fillId="4" borderId="6" xfId="0" applyNumberFormat="1" applyFill="1" applyBorder="1" applyAlignment="1">
      <alignment horizontal="center" vertical="center" wrapText="1"/>
    </xf>
    <xf numFmtId="9" fontId="0" fillId="4" borderId="6" xfId="1" applyFont="1" applyFill="1" applyBorder="1" applyAlignment="1">
      <alignment horizontal="center" vertical="center" wrapText="1"/>
    </xf>
    <xf numFmtId="9" fontId="0" fillId="4" borderId="6" xfId="1" applyFont="1" applyFill="1" applyBorder="1" applyAlignment="1">
      <alignment horizontal="center" vertical="center"/>
    </xf>
    <xf numFmtId="9" fontId="0" fillId="4" borderId="16" xfId="1" applyFont="1" applyFill="1" applyBorder="1" applyAlignment="1">
      <alignment horizontal="center" vertical="center"/>
    </xf>
    <xf numFmtId="2" fontId="2" fillId="4" borderId="0" xfId="0" applyNumberFormat="1" applyFont="1" applyFill="1" applyAlignment="1">
      <alignment horizontal="center" vertical="center" wrapText="1"/>
    </xf>
    <xf numFmtId="164" fontId="17" fillId="4" borderId="0" xfId="0" applyNumberFormat="1" applyFont="1" applyFill="1" applyAlignment="1">
      <alignment horizontal="center" vertical="center"/>
    </xf>
    <xf numFmtId="164" fontId="17" fillId="4" borderId="12" xfId="0" applyNumberFormat="1" applyFont="1" applyFill="1" applyBorder="1" applyAlignment="1">
      <alignment horizontal="center" vertical="center"/>
    </xf>
    <xf numFmtId="165" fontId="8" fillId="4" borderId="0" xfId="0" applyNumberFormat="1" applyFont="1" applyFill="1" applyAlignment="1">
      <alignment horizontal="center" vertical="center" wrapText="1"/>
    </xf>
    <xf numFmtId="165" fontId="8" fillId="4" borderId="12" xfId="0" applyNumberFormat="1" applyFont="1" applyFill="1" applyBorder="1" applyAlignment="1">
      <alignment horizontal="center" vertical="center" wrapText="1"/>
    </xf>
    <xf numFmtId="165" fontId="8" fillId="4" borderId="30" xfId="0" applyNumberFormat="1" applyFont="1" applyFill="1" applyBorder="1" applyAlignment="1">
      <alignment horizontal="center" vertical="center" wrapText="1"/>
    </xf>
    <xf numFmtId="2" fontId="10" fillId="4" borderId="15" xfId="0" applyNumberFormat="1" applyFont="1" applyFill="1" applyBorder="1" applyAlignment="1">
      <alignment horizontal="center"/>
    </xf>
    <xf numFmtId="1" fontId="0" fillId="4" borderId="8" xfId="0" applyNumberFormat="1" applyFill="1" applyBorder="1" applyAlignment="1">
      <alignment horizontal="center" vertical="center" wrapText="1"/>
    </xf>
    <xf numFmtId="165" fontId="0" fillId="5" borderId="30" xfId="0" applyNumberFormat="1" applyFill="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9" fillId="0" borderId="0" xfId="0" applyFont="1" applyAlignment="1">
      <alignment horizontal="left"/>
    </xf>
    <xf numFmtId="0" fontId="0" fillId="0" borderId="0" xfId="0" applyAlignment="1">
      <alignment horizontal="left"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0" borderId="26" xfId="0" applyBorder="1" applyAlignment="1">
      <alignment horizontal="left" vertical="center" wrapText="1"/>
    </xf>
    <xf numFmtId="0" fontId="27" fillId="0" borderId="0" xfId="0" applyFont="1"/>
    <xf numFmtId="0" fontId="0" fillId="0" borderId="0" xfId="0" applyAlignment="1">
      <alignment horizontal="left" vertical="center" wrapText="1"/>
    </xf>
    <xf numFmtId="0" fontId="0" fillId="0" borderId="0" xfId="0" applyAlignment="1">
      <alignment vertical="center" wrapText="1"/>
    </xf>
    <xf numFmtId="0" fontId="9" fillId="0" borderId="0" xfId="0" applyFont="1" applyAlignment="1">
      <alignment vertical="center"/>
    </xf>
    <xf numFmtId="0" fontId="0" fillId="5" borderId="0" xfId="0" applyFill="1" applyAlignment="1">
      <alignment vertical="center" wrapText="1"/>
    </xf>
    <xf numFmtId="0" fontId="28" fillId="0" borderId="0" xfId="0" applyFont="1" applyAlignment="1">
      <alignment horizontal="center" vertical="top"/>
    </xf>
    <xf numFmtId="0" fontId="14" fillId="0" borderId="26" xfId="0" applyFont="1" applyBorder="1" applyAlignment="1">
      <alignment horizontal="left" vertical="center" wrapText="1"/>
    </xf>
    <xf numFmtId="0" fontId="27" fillId="0" borderId="0" xfId="0" applyFont="1" applyAlignment="1">
      <alignment horizontal="left" vertical="center"/>
    </xf>
    <xf numFmtId="0" fontId="27" fillId="5" borderId="2" xfId="0" applyFont="1" applyFill="1" applyBorder="1" applyAlignment="1">
      <alignment horizontal="center" vertical="center"/>
    </xf>
    <xf numFmtId="0" fontId="27" fillId="5" borderId="2" xfId="0" applyFont="1" applyFill="1" applyBorder="1" applyAlignment="1">
      <alignment horizontal="center" vertical="center" wrapText="1"/>
    </xf>
    <xf numFmtId="2" fontId="15" fillId="4" borderId="15" xfId="0" applyNumberFormat="1" applyFont="1" applyFill="1" applyBorder="1" applyAlignment="1">
      <alignment horizontal="center" vertical="center"/>
    </xf>
    <xf numFmtId="40" fontId="17" fillId="4" borderId="17" xfId="0" applyNumberFormat="1" applyFont="1" applyFill="1" applyBorder="1" applyAlignment="1">
      <alignment horizontal="center" vertical="center"/>
    </xf>
    <xf numFmtId="9" fontId="23" fillId="4" borderId="20" xfId="1" applyFont="1" applyFill="1" applyBorder="1" applyAlignment="1" applyProtection="1">
      <alignment horizontal="center" vertical="center"/>
    </xf>
    <xf numFmtId="9" fontId="23" fillId="4" borderId="24" xfId="1" applyFont="1" applyFill="1" applyBorder="1" applyAlignment="1" applyProtection="1">
      <alignment horizontal="center" vertical="center"/>
    </xf>
    <xf numFmtId="38" fontId="17" fillId="4" borderId="20" xfId="0" applyNumberFormat="1" applyFont="1" applyFill="1" applyBorder="1" applyAlignment="1">
      <alignment horizontal="center" vertical="center"/>
    </xf>
    <xf numFmtId="40" fontId="0" fillId="5" borderId="8" xfId="0" applyNumberFormat="1" applyFill="1" applyBorder="1" applyAlignment="1">
      <alignment horizontal="center" vertical="center" wrapText="1"/>
    </xf>
    <xf numFmtId="0" fontId="14" fillId="4" borderId="29" xfId="0" applyFont="1" applyFill="1" applyBorder="1" applyAlignment="1">
      <alignment horizontal="left" vertical="center"/>
    </xf>
    <xf numFmtId="0" fontId="14" fillId="4" borderId="4" xfId="0" applyFont="1" applyFill="1" applyBorder="1" applyAlignment="1">
      <alignment horizontal="left" vertical="center"/>
    </xf>
    <xf numFmtId="0" fontId="14" fillId="4" borderId="26" xfId="0" applyFont="1" applyFill="1" applyBorder="1" applyAlignment="1">
      <alignment horizontal="left" vertical="center"/>
    </xf>
    <xf numFmtId="40" fontId="0" fillId="4" borderId="8" xfId="0" applyNumberFormat="1" applyFill="1" applyBorder="1" applyAlignment="1">
      <alignment horizontal="center" vertical="center" wrapText="1"/>
    </xf>
    <xf numFmtId="40" fontId="0" fillId="4" borderId="23" xfId="0" applyNumberFormat="1" applyFill="1" applyBorder="1" applyAlignment="1">
      <alignment horizontal="center" vertical="center" wrapText="1"/>
    </xf>
    <xf numFmtId="2" fontId="19" fillId="4" borderId="29" xfId="0" applyNumberFormat="1" applyFont="1" applyFill="1" applyBorder="1" applyAlignment="1">
      <alignment horizontal="left" vertical="center"/>
    </xf>
    <xf numFmtId="2" fontId="20" fillId="4" borderId="4" xfId="0" applyNumberFormat="1" applyFont="1" applyFill="1" applyBorder="1" applyAlignment="1">
      <alignment horizontal="left" vertical="center"/>
    </xf>
    <xf numFmtId="2" fontId="21" fillId="4" borderId="4" xfId="0" applyNumberFormat="1" applyFont="1" applyFill="1" applyBorder="1" applyAlignment="1">
      <alignment horizontal="left" vertical="center"/>
    </xf>
    <xf numFmtId="2" fontId="20" fillId="4" borderId="34" xfId="0" applyNumberFormat="1" applyFont="1" applyFill="1" applyBorder="1" applyAlignment="1">
      <alignment horizontal="left" vertical="center"/>
    </xf>
    <xf numFmtId="2" fontId="19" fillId="4" borderId="34" xfId="0" applyNumberFormat="1" applyFont="1" applyFill="1" applyBorder="1" applyAlignment="1">
      <alignment horizontal="left" vertical="center"/>
    </xf>
    <xf numFmtId="38" fontId="17" fillId="0" borderId="0" xfId="0" applyNumberFormat="1" applyFont="1" applyAlignment="1">
      <alignment horizontal="center" vertical="center"/>
    </xf>
    <xf numFmtId="0" fontId="0" fillId="4" borderId="6" xfId="0" applyFill="1" applyBorder="1" applyAlignment="1">
      <alignment vertical="center"/>
    </xf>
    <xf numFmtId="2" fontId="10" fillId="4" borderId="26" xfId="0" applyNumberFormat="1" applyFont="1" applyFill="1" applyBorder="1" applyAlignment="1">
      <alignment horizontal="left"/>
    </xf>
    <xf numFmtId="2" fontId="25" fillId="4" borderId="4" xfId="0" applyNumberFormat="1" applyFont="1" applyFill="1" applyBorder="1" applyAlignment="1">
      <alignment horizontal="left"/>
    </xf>
    <xf numFmtId="0" fontId="0" fillId="4" borderId="4" xfId="0" applyFill="1" applyBorder="1" applyAlignment="1">
      <alignment horizontal="left"/>
    </xf>
    <xf numFmtId="0" fontId="2" fillId="4" borderId="26" xfId="0" applyFont="1" applyFill="1" applyBorder="1" applyAlignment="1">
      <alignment horizontal="left"/>
    </xf>
    <xf numFmtId="0" fontId="0" fillId="4" borderId="4" xfId="0" applyFill="1" applyBorder="1"/>
    <xf numFmtId="0" fontId="2" fillId="4" borderId="4" xfId="0" applyFont="1" applyFill="1" applyBorder="1"/>
    <xf numFmtId="0" fontId="2" fillId="4" borderId="29" xfId="0" applyFont="1" applyFill="1" applyBorder="1"/>
    <xf numFmtId="0" fontId="2" fillId="4" borderId="26" xfId="0" applyFont="1" applyFill="1" applyBorder="1"/>
    <xf numFmtId="0" fontId="0" fillId="4" borderId="5" xfId="0" applyFill="1" applyBorder="1"/>
    <xf numFmtId="0" fontId="0" fillId="0" borderId="6" xfId="0" applyBorder="1"/>
    <xf numFmtId="1" fontId="15" fillId="4" borderId="30" xfId="0" applyNumberFormat="1" applyFont="1" applyFill="1" applyBorder="1" applyAlignment="1">
      <alignment horizontal="center" vertical="center"/>
    </xf>
    <xf numFmtId="2" fontId="2" fillId="4" borderId="22" xfId="0" applyNumberFormat="1" applyFont="1" applyFill="1" applyBorder="1" applyAlignment="1">
      <alignment horizontal="center" vertical="center" wrapText="1"/>
    </xf>
    <xf numFmtId="0" fontId="0" fillId="4" borderId="6" xfId="0" applyFill="1" applyBorder="1"/>
    <xf numFmtId="38" fontId="17" fillId="0" borderId="30" xfId="0" applyNumberFormat="1" applyFont="1" applyBorder="1" applyAlignment="1">
      <alignment horizontal="center" vertical="center"/>
    </xf>
    <xf numFmtId="1" fontId="15" fillId="5" borderId="0" xfId="0" applyNumberFormat="1" applyFont="1" applyFill="1" applyAlignment="1">
      <alignment horizontal="center" vertical="center"/>
    </xf>
    <xf numFmtId="166" fontId="23" fillId="4" borderId="0" xfId="1" applyNumberFormat="1" applyFont="1" applyFill="1" applyBorder="1" applyAlignment="1" applyProtection="1">
      <alignment horizontal="center" vertical="center"/>
    </xf>
    <xf numFmtId="166" fontId="23" fillId="4" borderId="12" xfId="1" applyNumberFormat="1" applyFont="1" applyFill="1" applyBorder="1" applyAlignment="1" applyProtection="1">
      <alignment horizontal="center" vertical="center"/>
    </xf>
    <xf numFmtId="164" fontId="17" fillId="5" borderId="0" xfId="0" applyNumberFormat="1" applyFont="1" applyFill="1" applyAlignment="1">
      <alignment horizontal="center" vertical="center"/>
    </xf>
    <xf numFmtId="38" fontId="17" fillId="5" borderId="0" xfId="0" applyNumberFormat="1" applyFont="1" applyFill="1" applyAlignment="1">
      <alignment horizontal="center" vertical="center"/>
    </xf>
    <xf numFmtId="167" fontId="13" fillId="4" borderId="9" xfId="2" applyNumberFormat="1" applyFont="1" applyFill="1" applyBorder="1" applyAlignment="1">
      <alignment horizontal="center" vertical="center" wrapText="1"/>
    </xf>
    <xf numFmtId="167" fontId="13" fillId="4" borderId="0" xfId="2" applyNumberFormat="1" applyFont="1" applyFill="1" applyBorder="1" applyAlignment="1">
      <alignment horizontal="center" vertical="center" wrapText="1"/>
    </xf>
    <xf numFmtId="167" fontId="13" fillId="4" borderId="9" xfId="2" applyNumberFormat="1" applyFont="1" applyFill="1" applyBorder="1" applyAlignment="1">
      <alignment horizontal="left" vertical="center" wrapText="1"/>
    </xf>
    <xf numFmtId="167" fontId="13" fillId="4" borderId="0" xfId="2" applyNumberFormat="1" applyFont="1" applyFill="1" applyBorder="1" applyAlignment="1">
      <alignment horizontal="left" vertical="center" wrapText="1"/>
    </xf>
    <xf numFmtId="167" fontId="13" fillId="4" borderId="12" xfId="2" applyNumberFormat="1" applyFont="1" applyFill="1" applyBorder="1" applyAlignment="1">
      <alignment horizontal="left" vertical="center" wrapText="1"/>
    </xf>
    <xf numFmtId="167" fontId="13" fillId="4" borderId="35" xfId="2" applyNumberFormat="1" applyFont="1" applyFill="1" applyBorder="1" applyAlignment="1">
      <alignment horizontal="left" vertical="center" wrapText="1"/>
    </xf>
    <xf numFmtId="167" fontId="13" fillId="4" borderId="7" xfId="2" applyNumberFormat="1" applyFont="1" applyFill="1" applyBorder="1" applyAlignment="1">
      <alignment horizontal="left" vertical="center" wrapText="1"/>
    </xf>
    <xf numFmtId="167" fontId="13" fillId="4" borderId="17" xfId="2" applyNumberFormat="1" applyFont="1" applyFill="1" applyBorder="1" applyAlignment="1">
      <alignment horizontal="left" vertical="center" wrapText="1"/>
    </xf>
    <xf numFmtId="0" fontId="8" fillId="4" borderId="6" xfId="0" applyFont="1" applyFill="1" applyBorder="1" applyAlignment="1">
      <alignment vertical="center"/>
    </xf>
    <xf numFmtId="9" fontId="23" fillId="4" borderId="8" xfId="1" applyFont="1" applyFill="1" applyBorder="1" applyAlignment="1">
      <alignment horizontal="center" vertical="center"/>
    </xf>
    <xf numFmtId="2" fontId="17" fillId="4" borderId="7" xfId="0" applyNumberFormat="1" applyFont="1" applyFill="1" applyBorder="1" applyAlignment="1">
      <alignment horizontal="center" vertical="center"/>
    </xf>
    <xf numFmtId="40" fontId="17" fillId="4" borderId="7" xfId="0" applyNumberFormat="1" applyFont="1" applyFill="1" applyBorder="1" applyAlignment="1">
      <alignment horizontal="center" vertical="center"/>
    </xf>
    <xf numFmtId="165" fontId="15" fillId="4" borderId="19" xfId="0" applyNumberFormat="1" applyFont="1" applyFill="1" applyBorder="1" applyAlignment="1">
      <alignment horizontal="center" vertical="center"/>
    </xf>
    <xf numFmtId="9" fontId="23" fillId="4" borderId="19" xfId="1" applyFont="1" applyFill="1" applyBorder="1" applyAlignment="1">
      <alignment horizontal="center" vertical="center"/>
    </xf>
    <xf numFmtId="164" fontId="17" fillId="4" borderId="7" xfId="0" applyNumberFormat="1" applyFont="1" applyFill="1" applyBorder="1" applyAlignment="1">
      <alignment horizontal="center" vertical="center"/>
    </xf>
    <xf numFmtId="164" fontId="17" fillId="4" borderId="19" xfId="0" applyNumberFormat="1" applyFont="1" applyFill="1" applyBorder="1" applyAlignment="1">
      <alignment horizontal="center" vertical="center"/>
    </xf>
    <xf numFmtId="164" fontId="15" fillId="4" borderId="14" xfId="0" applyNumberFormat="1" applyFont="1" applyFill="1" applyBorder="1" applyAlignment="1">
      <alignment horizontal="center" vertical="center"/>
    </xf>
    <xf numFmtId="9" fontId="23" fillId="4" borderId="0" xfId="1" applyFont="1" applyFill="1" applyAlignment="1">
      <alignment horizontal="center" vertical="center"/>
    </xf>
    <xf numFmtId="9" fontId="23" fillId="4" borderId="0" xfId="1" applyFont="1" applyFill="1" applyBorder="1" applyAlignment="1">
      <alignment horizontal="center" vertical="center"/>
    </xf>
    <xf numFmtId="165" fontId="15" fillId="4" borderId="20" xfId="0" applyNumberFormat="1" applyFont="1" applyFill="1" applyBorder="1" applyAlignment="1">
      <alignment horizontal="center" vertical="center"/>
    </xf>
    <xf numFmtId="165" fontId="15" fillId="4" borderId="1" xfId="0" applyNumberFormat="1" applyFont="1" applyFill="1" applyBorder="1" applyAlignment="1">
      <alignment horizontal="center" vertical="center"/>
    </xf>
    <xf numFmtId="165" fontId="15" fillId="4" borderId="28" xfId="0" applyNumberFormat="1" applyFont="1" applyFill="1" applyBorder="1" applyAlignment="1">
      <alignment horizontal="center" vertical="center"/>
    </xf>
    <xf numFmtId="2" fontId="4" fillId="4" borderId="15" xfId="0" applyNumberFormat="1" applyFont="1" applyFill="1" applyBorder="1" applyAlignment="1">
      <alignment vertical="center"/>
    </xf>
    <xf numFmtId="40" fontId="0" fillId="5" borderId="23" xfId="0" applyNumberFormat="1" applyFill="1" applyBorder="1" applyAlignment="1">
      <alignment horizontal="center" vertical="center" wrapText="1"/>
    </xf>
    <xf numFmtId="165" fontId="8" fillId="4" borderId="31" xfId="0" applyNumberFormat="1" applyFont="1" applyFill="1" applyBorder="1" applyAlignment="1">
      <alignment horizontal="center" vertical="center" wrapText="1"/>
    </xf>
    <xf numFmtId="164" fontId="17" fillId="4" borderId="36" xfId="0" applyNumberFormat="1" applyFont="1" applyFill="1" applyBorder="1" applyAlignment="1">
      <alignment horizontal="center" vertical="center"/>
    </xf>
    <xf numFmtId="9" fontId="23" fillId="4" borderId="19" xfId="1" applyFont="1" applyFill="1" applyBorder="1" applyAlignment="1" applyProtection="1">
      <alignment horizontal="center" vertical="center"/>
    </xf>
    <xf numFmtId="38" fontId="17" fillId="4" borderId="19" xfId="0" applyNumberFormat="1" applyFont="1" applyFill="1" applyBorder="1" applyAlignment="1">
      <alignment horizontal="center" vertical="center"/>
    </xf>
    <xf numFmtId="1" fontId="15" fillId="3" borderId="18" xfId="0" applyNumberFormat="1" applyFont="1" applyFill="1" applyBorder="1" applyAlignment="1">
      <alignment horizontal="center" vertical="center"/>
    </xf>
    <xf numFmtId="0" fontId="29" fillId="6" borderId="37" xfId="0" applyFont="1" applyFill="1" applyBorder="1" applyAlignment="1">
      <alignment horizontal="left" vertical="center"/>
    </xf>
    <xf numFmtId="0" fontId="0" fillId="6" borderId="37" xfId="0" applyFill="1" applyBorder="1"/>
    <xf numFmtId="165" fontId="0" fillId="5" borderId="0" xfId="0" applyNumberFormat="1" applyFill="1" applyAlignment="1">
      <alignment horizontal="center" vertical="center" wrapText="1"/>
    </xf>
    <xf numFmtId="40" fontId="15" fillId="4" borderId="30" xfId="0" applyNumberFormat="1" applyFont="1" applyFill="1" applyBorder="1" applyAlignment="1">
      <alignment horizontal="center" vertical="center"/>
    </xf>
    <xf numFmtId="164" fontId="17" fillId="5" borderId="30" xfId="0" applyNumberFormat="1" applyFont="1" applyFill="1" applyBorder="1" applyAlignment="1">
      <alignment horizontal="center" vertical="center"/>
    </xf>
    <xf numFmtId="1" fontId="0" fillId="4" borderId="24" xfId="0" applyNumberFormat="1" applyFill="1" applyBorder="1" applyAlignment="1">
      <alignment horizontal="center" vertical="center" wrapText="1"/>
    </xf>
    <xf numFmtId="164" fontId="15" fillId="4" borderId="12" xfId="0" applyNumberFormat="1" applyFont="1" applyFill="1" applyBorder="1" applyAlignment="1">
      <alignment horizontal="center" vertical="center"/>
    </xf>
    <xf numFmtId="164" fontId="15" fillId="4" borderId="25" xfId="0" applyNumberFormat="1" applyFont="1" applyFill="1" applyBorder="1" applyAlignment="1">
      <alignment horizontal="center" vertical="center"/>
    </xf>
    <xf numFmtId="2" fontId="15" fillId="4" borderId="13" xfId="0" applyNumberFormat="1" applyFont="1" applyFill="1" applyBorder="1" applyAlignment="1">
      <alignment horizontal="center" vertical="center"/>
    </xf>
    <xf numFmtId="166" fontId="23" fillId="4" borderId="23" xfId="1" applyNumberFormat="1" applyFont="1" applyFill="1" applyBorder="1" applyAlignment="1" applyProtection="1">
      <alignment horizontal="center" vertical="center"/>
    </xf>
    <xf numFmtId="164" fontId="15" fillId="4" borderId="15" xfId="0" applyNumberFormat="1" applyFont="1" applyFill="1" applyBorder="1" applyAlignment="1">
      <alignment horizontal="center" vertical="center"/>
    </xf>
    <xf numFmtId="165" fontId="8" fillId="4" borderId="24" xfId="0" applyNumberFormat="1" applyFont="1" applyFill="1" applyBorder="1" applyAlignment="1">
      <alignment horizontal="center" vertical="center" wrapText="1"/>
    </xf>
    <xf numFmtId="165" fontId="0" fillId="4" borderId="30" xfId="0" applyNumberFormat="1" applyFill="1" applyBorder="1" applyAlignment="1">
      <alignment horizontal="center" vertical="center" wrapText="1"/>
    </xf>
    <xf numFmtId="165" fontId="8" fillId="4" borderId="8" xfId="0" applyNumberFormat="1" applyFont="1" applyFill="1" applyBorder="1" applyAlignment="1">
      <alignment horizontal="center" vertical="center" wrapText="1"/>
    </xf>
    <xf numFmtId="165" fontId="8" fillId="4" borderId="23" xfId="0" applyNumberFormat="1" applyFont="1" applyFill="1" applyBorder="1" applyAlignment="1">
      <alignment horizontal="center" vertical="center" wrapText="1"/>
    </xf>
    <xf numFmtId="38" fontId="15" fillId="4" borderId="14" xfId="0" applyNumberFormat="1" applyFont="1" applyFill="1" applyBorder="1" applyAlignment="1">
      <alignment horizontal="center" vertical="center"/>
    </xf>
    <xf numFmtId="1" fontId="0" fillId="5" borderId="0" xfId="0" applyNumberFormat="1" applyFill="1" applyAlignment="1">
      <alignment horizontal="center" vertical="center" wrapText="1"/>
    </xf>
    <xf numFmtId="1" fontId="0" fillId="5" borderId="8" xfId="0" applyNumberFormat="1" applyFill="1" applyBorder="1" applyAlignment="1">
      <alignment horizontal="center" vertical="center" wrapText="1"/>
    </xf>
    <xf numFmtId="1" fontId="0" fillId="4" borderId="6" xfId="0" applyNumberFormat="1" applyFill="1" applyBorder="1" applyAlignment="1">
      <alignment horizontal="center" vertical="center" wrapText="1"/>
    </xf>
    <xf numFmtId="40" fontId="17" fillId="5" borderId="0" xfId="0" applyNumberFormat="1" applyFont="1" applyFill="1" applyAlignment="1">
      <alignment horizontal="center" vertical="center"/>
    </xf>
    <xf numFmtId="166" fontId="23" fillId="4" borderId="8" xfId="1" applyNumberFormat="1" applyFont="1" applyFill="1" applyBorder="1" applyAlignment="1" applyProtection="1">
      <alignment horizontal="center" vertical="center"/>
    </xf>
    <xf numFmtId="38" fontId="17" fillId="5" borderId="16" xfId="0" applyNumberFormat="1" applyFont="1" applyFill="1" applyBorder="1" applyAlignment="1">
      <alignment horizontal="center" vertical="center"/>
    </xf>
    <xf numFmtId="164" fontId="24" fillId="5" borderId="21" xfId="0" applyNumberFormat="1" applyFont="1" applyFill="1" applyBorder="1" applyAlignment="1">
      <alignment horizontal="center" vertical="center" wrapText="1"/>
    </xf>
    <xf numFmtId="2" fontId="16" fillId="4" borderId="0" xfId="0" applyNumberFormat="1" applyFont="1" applyFill="1" applyAlignment="1">
      <alignment horizontal="left" vertical="center"/>
    </xf>
    <xf numFmtId="2" fontId="26" fillId="4" borderId="0" xfId="0" applyNumberFormat="1" applyFont="1" applyFill="1" applyAlignment="1">
      <alignment horizontal="left" vertical="center"/>
    </xf>
    <xf numFmtId="2" fontId="18" fillId="0" borderId="3" xfId="0" applyNumberFormat="1" applyFont="1" applyBorder="1" applyAlignment="1">
      <alignment horizontal="center" vertical="center"/>
    </xf>
    <xf numFmtId="2" fontId="18" fillId="0" borderId="4" xfId="0" applyNumberFormat="1" applyFont="1" applyBorder="1" applyAlignment="1">
      <alignment horizontal="center" vertical="center"/>
    </xf>
    <xf numFmtId="2" fontId="18" fillId="0" borderId="6" xfId="0" applyNumberFormat="1" applyFont="1" applyBorder="1" applyAlignment="1">
      <alignment horizontal="center" vertical="center"/>
    </xf>
    <xf numFmtId="2" fontId="22" fillId="0" borderId="13" xfId="0" applyNumberFormat="1" applyFont="1" applyBorder="1" applyAlignment="1">
      <alignment horizontal="center" vertical="center"/>
    </xf>
    <xf numFmtId="2" fontId="22" fillId="0" borderId="14" xfId="0" applyNumberFormat="1" applyFont="1" applyBorder="1" applyAlignment="1">
      <alignment horizontal="center" vertical="center"/>
    </xf>
    <xf numFmtId="2" fontId="22" fillId="0" borderId="15" xfId="0" applyNumberFormat="1" applyFont="1" applyBorder="1" applyAlignment="1">
      <alignment horizontal="center" vertical="center"/>
    </xf>
    <xf numFmtId="2" fontId="22" fillId="0" borderId="6" xfId="0" applyNumberFormat="1" applyFont="1" applyBorder="1" applyAlignment="1">
      <alignment horizontal="center" vertical="center"/>
    </xf>
    <xf numFmtId="2" fontId="22" fillId="0" borderId="0" xfId="0" applyNumberFormat="1" applyFont="1" applyAlignment="1">
      <alignment horizontal="center" vertical="center"/>
    </xf>
    <xf numFmtId="2" fontId="22" fillId="0" borderId="12" xfId="0" applyNumberFormat="1" applyFont="1" applyBorder="1" applyAlignment="1">
      <alignment horizontal="center" vertical="center"/>
    </xf>
    <xf numFmtId="2" fontId="22" fillId="0" borderId="16" xfId="0" applyNumberFormat="1" applyFont="1" applyBorder="1" applyAlignment="1">
      <alignment horizontal="center" vertical="center"/>
    </xf>
    <xf numFmtId="2" fontId="22" fillId="0" borderId="7" xfId="0" applyNumberFormat="1" applyFont="1" applyBorder="1" applyAlignment="1">
      <alignment horizontal="center" vertical="center"/>
    </xf>
    <xf numFmtId="2" fontId="22" fillId="0" borderId="17" xfId="0" applyNumberFormat="1" applyFont="1" applyBorder="1" applyAlignment="1">
      <alignment horizontal="center" vertical="center"/>
    </xf>
    <xf numFmtId="2" fontId="20" fillId="4" borderId="4" xfId="0" applyNumberFormat="1" applyFont="1" applyFill="1" applyBorder="1" applyAlignment="1">
      <alignment horizontal="left" vertical="center" wrapText="1"/>
    </xf>
    <xf numFmtId="2" fontId="20" fillId="4" borderId="26" xfId="0" applyNumberFormat="1" applyFont="1" applyFill="1" applyBorder="1" applyAlignment="1">
      <alignment horizontal="left" vertical="center" wrapText="1"/>
    </xf>
    <xf numFmtId="2" fontId="18" fillId="0" borderId="5" xfId="0" applyNumberFormat="1" applyFont="1" applyBorder="1" applyAlignment="1">
      <alignment horizontal="center" vertical="center"/>
    </xf>
    <xf numFmtId="2" fontId="3" fillId="0" borderId="13" xfId="0" applyNumberFormat="1" applyFont="1" applyBorder="1" applyAlignment="1">
      <alignment horizontal="center" vertical="center"/>
    </xf>
    <xf numFmtId="2" fontId="3" fillId="0" borderId="14" xfId="0" applyNumberFormat="1" applyFont="1" applyBorder="1" applyAlignment="1">
      <alignment horizontal="center" vertical="center"/>
    </xf>
    <xf numFmtId="2" fontId="3" fillId="0" borderId="15" xfId="0" applyNumberFormat="1" applyFont="1" applyBorder="1" applyAlignment="1">
      <alignment horizontal="center" vertical="center"/>
    </xf>
    <xf numFmtId="2" fontId="3" fillId="0" borderId="6" xfId="0" applyNumberFormat="1" applyFont="1" applyBorder="1" applyAlignment="1">
      <alignment horizontal="center" vertical="center"/>
    </xf>
    <xf numFmtId="2" fontId="3" fillId="0" borderId="0" xfId="0" applyNumberFormat="1" applyFont="1" applyAlignment="1">
      <alignment horizontal="center" vertical="center"/>
    </xf>
    <xf numFmtId="2" fontId="3" fillId="0" borderId="12" xfId="0" applyNumberFormat="1" applyFont="1" applyBorder="1" applyAlignment="1">
      <alignment horizontal="center" vertical="center"/>
    </xf>
    <xf numFmtId="2" fontId="3" fillId="0" borderId="3" xfId="0" applyNumberFormat="1" applyFont="1" applyBorder="1" applyAlignment="1">
      <alignment horizontal="center" vertical="center"/>
    </xf>
    <xf numFmtId="2" fontId="3" fillId="0" borderId="4" xfId="0" applyNumberFormat="1" applyFont="1" applyBorder="1" applyAlignment="1">
      <alignment horizontal="center" vertical="center"/>
    </xf>
    <xf numFmtId="0" fontId="8" fillId="4" borderId="0" xfId="0" applyFont="1" applyFill="1" applyAlignment="1">
      <alignment vertical="center"/>
    </xf>
    <xf numFmtId="2" fontId="5" fillId="0" borderId="13" xfId="0" applyNumberFormat="1" applyFont="1" applyBorder="1" applyAlignment="1">
      <alignment horizontal="center" vertical="center"/>
    </xf>
    <xf numFmtId="2" fontId="5" fillId="0" borderId="14" xfId="0" applyNumberFormat="1" applyFont="1" applyBorder="1" applyAlignment="1">
      <alignment horizontal="center" vertical="center"/>
    </xf>
    <xf numFmtId="2" fontId="5" fillId="0" borderId="15" xfId="0" applyNumberFormat="1" applyFont="1" applyBorder="1" applyAlignment="1">
      <alignment horizontal="center" vertical="center"/>
    </xf>
    <xf numFmtId="2" fontId="5" fillId="0" borderId="6" xfId="0" applyNumberFormat="1" applyFont="1" applyBorder="1" applyAlignment="1">
      <alignment horizontal="center" vertical="center"/>
    </xf>
    <xf numFmtId="2" fontId="5" fillId="0" borderId="0" xfId="0" applyNumberFormat="1" applyFont="1" applyAlignment="1">
      <alignment horizontal="center" vertical="center"/>
    </xf>
    <xf numFmtId="2" fontId="5" fillId="0" borderId="12" xfId="0" applyNumberFormat="1" applyFont="1" applyBorder="1" applyAlignment="1">
      <alignment horizontal="center" vertical="center"/>
    </xf>
    <xf numFmtId="2" fontId="5" fillId="0" borderId="7" xfId="0" applyNumberFormat="1" applyFont="1" applyBorder="1" applyAlignment="1">
      <alignment horizontal="center" vertical="center"/>
    </xf>
    <xf numFmtId="2" fontId="5" fillId="0" borderId="17" xfId="0" applyNumberFormat="1" applyFont="1" applyBorder="1" applyAlignment="1">
      <alignment horizontal="center" vertical="center"/>
    </xf>
    <xf numFmtId="0" fontId="2" fillId="4" borderId="0" xfId="0" applyFont="1" applyFill="1" applyAlignment="1">
      <alignment horizontal="left" vertical="center"/>
    </xf>
    <xf numFmtId="0" fontId="0" fillId="0" borderId="0" xfId="0" applyAlignment="1">
      <alignment horizontal="center" vertical="center"/>
    </xf>
    <xf numFmtId="0" fontId="8" fillId="4" borderId="0" xfId="0" applyFont="1" applyFill="1" applyAlignment="1">
      <alignment horizontal="left" vertical="center"/>
    </xf>
    <xf numFmtId="0" fontId="8" fillId="4" borderId="12" xfId="0" applyFont="1" applyFill="1" applyBorder="1" applyAlignment="1">
      <alignment horizontal="left" vertical="center"/>
    </xf>
    <xf numFmtId="0" fontId="0" fillId="4" borderId="0" xfId="0" applyFill="1" applyAlignment="1">
      <alignment horizontal="left" vertical="center"/>
    </xf>
    <xf numFmtId="0" fontId="2" fillId="4" borderId="6" xfId="0" applyFont="1" applyFill="1" applyBorder="1" applyAlignment="1">
      <alignment horizontal="left" vertical="center"/>
    </xf>
    <xf numFmtId="0" fontId="8" fillId="4" borderId="6" xfId="0" applyFont="1" applyFill="1" applyBorder="1" applyAlignment="1">
      <alignment vertical="center"/>
    </xf>
    <xf numFmtId="0" fontId="8" fillId="4" borderId="12" xfId="0" applyFont="1" applyFill="1" applyBorder="1" applyAlignment="1">
      <alignment vertical="center"/>
    </xf>
    <xf numFmtId="0" fontId="0" fillId="0" borderId="0" xfId="0" applyAlignment="1">
      <alignment horizontal="left"/>
    </xf>
    <xf numFmtId="0" fontId="0" fillId="0" borderId="32" xfId="0" applyBorder="1" applyAlignment="1">
      <alignment horizontal="left" vertical="center" wrapText="1"/>
    </xf>
    <xf numFmtId="0" fontId="0" fillId="0" borderId="29" xfId="0" applyBorder="1" applyAlignment="1">
      <alignment horizontal="left" vertical="center" wrapText="1"/>
    </xf>
    <xf numFmtId="0" fontId="0" fillId="0" borderId="26" xfId="0" applyBorder="1" applyAlignment="1">
      <alignment horizontal="left" vertical="center" wrapText="1"/>
    </xf>
    <xf numFmtId="0" fontId="0" fillId="0" borderId="0" xfId="0" applyAlignment="1">
      <alignment horizontal="center"/>
    </xf>
    <xf numFmtId="0" fontId="2" fillId="0" borderId="0" xfId="0" applyFont="1" applyAlignment="1">
      <alignment horizontal="center"/>
    </xf>
    <xf numFmtId="0" fontId="2" fillId="7" borderId="0" xfId="0" applyFont="1" applyFill="1"/>
    <xf numFmtId="14" fontId="2" fillId="7" borderId="0" xfId="0" applyNumberFormat="1" applyFont="1" applyFill="1"/>
    <xf numFmtId="0" fontId="0" fillId="8" borderId="0" xfId="0" applyFill="1"/>
    <xf numFmtId="168" fontId="0" fillId="0" borderId="0" xfId="0" applyNumberFormat="1"/>
    <xf numFmtId="0" fontId="2" fillId="0" borderId="0" xfId="0" applyFont="1"/>
    <xf numFmtId="168" fontId="2" fillId="0" borderId="0" xfId="0" applyNumberFormat="1" applyFont="1"/>
    <xf numFmtId="0" fontId="32" fillId="0" borderId="0" xfId="0" applyFont="1"/>
    <xf numFmtId="0" fontId="2" fillId="8" borderId="0" xfId="0" applyFont="1" applyFill="1"/>
    <xf numFmtId="168" fontId="2" fillId="8" borderId="0" xfId="0" applyNumberFormat="1" applyFont="1" applyFill="1"/>
    <xf numFmtId="0" fontId="33" fillId="0" borderId="0" xfId="0" applyFont="1"/>
    <xf numFmtId="165" fontId="0" fillId="4" borderId="0" xfId="0" applyNumberFormat="1" applyFill="1" applyAlignment="1">
      <alignment horizontal="center" wrapText="1"/>
    </xf>
    <xf numFmtId="38" fontId="0" fillId="4" borderId="0" xfId="0" applyNumberFormat="1" applyFill="1" applyAlignment="1">
      <alignment horizontal="center" wrapText="1"/>
    </xf>
    <xf numFmtId="10" fontId="0" fillId="0" borderId="0" xfId="1" applyNumberFormat="1" applyFont="1"/>
    <xf numFmtId="168" fontId="0" fillId="4" borderId="0" xfId="0" applyNumberFormat="1" applyFill="1"/>
    <xf numFmtId="168" fontId="0" fillId="4" borderId="0" xfId="0" applyNumberFormat="1" applyFill="1" applyAlignment="1">
      <alignment horizontal="center" wrapText="1"/>
    </xf>
    <xf numFmtId="2" fontId="0" fillId="4" borderId="0" xfId="0" applyNumberFormat="1" applyFill="1"/>
    <xf numFmtId="44" fontId="0" fillId="4" borderId="0" xfId="2" applyFont="1" applyFill="1" applyAlignment="1">
      <alignment horizontal="center" wrapText="1"/>
    </xf>
    <xf numFmtId="44" fontId="0" fillId="4" borderId="0" xfId="0" applyNumberFormat="1" applyFill="1"/>
    <xf numFmtId="0" fontId="2" fillId="4" borderId="0" xfId="0" applyFont="1" applyFill="1" applyAlignment="1">
      <alignment horizontal="center" wrapText="1"/>
    </xf>
    <xf numFmtId="9" fontId="0" fillId="4" borderId="0" xfId="0" applyNumberFormat="1" applyFill="1"/>
  </cellXfs>
  <cellStyles count="3">
    <cellStyle name="Moneda" xfId="2" builtinId="4"/>
    <cellStyle name="Normal" xfId="0" builtinId="0"/>
    <cellStyle name="Porcentaje" xfId="1" builtinId="5"/>
  </cellStyles>
  <dxfs count="0"/>
  <tableStyles count="0" defaultTableStyle="TableStyleMedium2" defaultPivotStyle="PivotStyleMedium9"/>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cked"/>
        <c:varyColors val="0"/>
        <c:ser>
          <c:idx val="0"/>
          <c:order val="0"/>
          <c:tx>
            <c:v>Valor Intrínseco</c:v>
          </c:tx>
          <c:marker>
            <c:symbol val="none"/>
          </c:marker>
          <c:val>
            <c:numRef>
              <c:f>'4. Valoración'!$I$23:$N$23</c:f>
              <c:numCache>
                <c:formatCode>_-[$$-2809]* #,##0_-;\-[$$-2809]* #,##0_-;_-[$$-2809]* "-"??_-;_-@_-</c:formatCode>
                <c:ptCount val="6"/>
                <c:pt idx="0">
                  <c:v>52.436092342342342</c:v>
                </c:pt>
                <c:pt idx="1">
                  <c:v>40.903884456454527</c:v>
                </c:pt>
                <c:pt idx="2">
                  <c:v>35.162618365070422</c:v>
                </c:pt>
                <c:pt idx="3">
                  <c:v>37.677856186886856</c:v>
                </c:pt>
                <c:pt idx="4">
                  <c:v>40.43232094850638</c:v>
                </c:pt>
                <c:pt idx="5">
                  <c:v>43.458064509842664</c:v>
                </c:pt>
              </c:numCache>
            </c:numRef>
          </c:val>
          <c:smooth val="0"/>
          <c:extLst>
            <c:ext xmlns:c16="http://schemas.microsoft.com/office/drawing/2014/chart" uri="{C3380CC4-5D6E-409C-BE32-E72D297353CC}">
              <c16:uniqueId val="{00000000-A06F-4451-AAE0-D4FFAE5046A5}"/>
            </c:ext>
          </c:extLst>
        </c:ser>
        <c:dLbls>
          <c:showLegendKey val="0"/>
          <c:showVal val="0"/>
          <c:showCatName val="0"/>
          <c:showSerName val="0"/>
          <c:showPercent val="0"/>
          <c:showBubbleSize val="0"/>
        </c:dLbls>
        <c:smooth val="0"/>
        <c:axId val="202931200"/>
        <c:axId val="202973952"/>
      </c:lineChart>
      <c:catAx>
        <c:axId val="202931200"/>
        <c:scaling>
          <c:orientation val="minMax"/>
        </c:scaling>
        <c:delete val="0"/>
        <c:axPos val="b"/>
        <c:numFmt formatCode="0" sourceLinked="1"/>
        <c:majorTickMark val="out"/>
        <c:minorTickMark val="none"/>
        <c:tickLblPos val="nextTo"/>
        <c:crossAx val="202973952"/>
        <c:crosses val="autoZero"/>
        <c:auto val="1"/>
        <c:lblAlgn val="ctr"/>
        <c:lblOffset val="100"/>
        <c:noMultiLvlLbl val="0"/>
      </c:catAx>
      <c:valAx>
        <c:axId val="202973952"/>
        <c:scaling>
          <c:orientation val="minMax"/>
        </c:scaling>
        <c:delete val="0"/>
        <c:axPos val="l"/>
        <c:majorGridlines/>
        <c:numFmt formatCode="_-[$$-2809]* #,##0_-;\-[$$-2809]* #,##0_-;_-[$$-2809]* &quot;-&quot;??_-;_-@_-" sourceLinked="1"/>
        <c:majorTickMark val="out"/>
        <c:minorTickMark val="none"/>
        <c:tickLblPos val="nextTo"/>
        <c:crossAx val="202931200"/>
        <c:crosses val="autoZero"/>
        <c:crossBetween val="between"/>
      </c:valAx>
    </c:plotArea>
    <c:legend>
      <c:legendPos val="r"/>
      <c:overlay val="0"/>
    </c:legend>
    <c:plotVisOnly val="1"/>
    <c:dispBlanksAs val="zero"/>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704850</xdr:colOff>
      <xdr:row>25</xdr:row>
      <xdr:rowOff>61912</xdr:rowOff>
    </xdr:from>
    <xdr:to>
      <xdr:col>10</xdr:col>
      <xdr:colOff>257175</xdr:colOff>
      <xdr:row>39</xdr:row>
      <xdr:rowOff>138112</xdr:rowOff>
    </xdr:to>
    <xdr:graphicFrame macro="">
      <xdr:nvGraphicFramePr>
        <xdr:cNvPr id="3" name="2 Gráfico">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D164-78E9-E84E-A899-96E143443B34}">
  <dimension ref="B1:I148"/>
  <sheetViews>
    <sheetView topLeftCell="A116" zoomScale="114" workbookViewId="0">
      <selection activeCell="C137" sqref="C137"/>
    </sheetView>
  </sheetViews>
  <sheetFormatPr baseColWidth="10" defaultRowHeight="15" x14ac:dyDescent="0.2"/>
  <cols>
    <col min="2" max="2" width="23.83203125" customWidth="1"/>
    <col min="3" max="3" width="18.33203125" customWidth="1"/>
    <col min="4" max="4" width="22.5" customWidth="1"/>
    <col min="5" max="5" width="21" customWidth="1"/>
    <col min="6" max="6" width="20.6640625" customWidth="1"/>
    <col min="7" max="7" width="19.83203125" customWidth="1"/>
    <col min="8" max="8" width="22.5" customWidth="1"/>
    <col min="9" max="9" width="20.5" customWidth="1"/>
  </cols>
  <sheetData>
    <row r="1" spans="2:9" x14ac:dyDescent="0.2">
      <c r="B1" s="277" t="s">
        <v>221</v>
      </c>
      <c r="C1" s="277"/>
      <c r="D1" s="277"/>
      <c r="E1" s="277"/>
      <c r="F1" s="277"/>
      <c r="G1" s="277"/>
      <c r="H1" s="277"/>
      <c r="I1" s="277"/>
    </row>
    <row r="2" spans="2:9" x14ac:dyDescent="0.2">
      <c r="B2" s="278" t="s">
        <v>86</v>
      </c>
      <c r="C2" s="278" t="s">
        <v>87</v>
      </c>
      <c r="D2" s="278" t="s">
        <v>88</v>
      </c>
      <c r="E2" s="278" t="s">
        <v>89</v>
      </c>
      <c r="F2" s="278" t="s">
        <v>90</v>
      </c>
      <c r="G2" s="278" t="s">
        <v>91</v>
      </c>
      <c r="H2" s="278" t="s">
        <v>92</v>
      </c>
      <c r="I2" s="278" t="s">
        <v>93</v>
      </c>
    </row>
    <row r="3" spans="2:9" x14ac:dyDescent="0.2">
      <c r="B3" s="278" t="s">
        <v>94</v>
      </c>
      <c r="C3" s="279">
        <v>43190</v>
      </c>
      <c r="D3" s="279">
        <v>43555</v>
      </c>
      <c r="E3" s="279">
        <v>43921</v>
      </c>
      <c r="F3" s="279">
        <v>44286</v>
      </c>
      <c r="G3" s="279">
        <v>44651</v>
      </c>
      <c r="H3" s="279">
        <v>45016</v>
      </c>
      <c r="I3" s="279">
        <v>45382</v>
      </c>
    </row>
    <row r="4" spans="2:9" x14ac:dyDescent="0.2">
      <c r="B4" s="280" t="s">
        <v>95</v>
      </c>
      <c r="C4" s="280" t="s">
        <v>96</v>
      </c>
      <c r="D4" s="280" t="s">
        <v>96</v>
      </c>
      <c r="E4" s="280" t="s">
        <v>96</v>
      </c>
      <c r="F4" s="280" t="s">
        <v>96</v>
      </c>
      <c r="G4" s="280" t="s">
        <v>96</v>
      </c>
      <c r="H4" s="280" t="s">
        <v>96</v>
      </c>
      <c r="I4" s="280" t="s">
        <v>96</v>
      </c>
    </row>
    <row r="5" spans="2:9" s="282" customFormat="1" x14ac:dyDescent="0.2">
      <c r="B5" s="282" t="s">
        <v>97</v>
      </c>
      <c r="C5" s="283">
        <v>1903339000</v>
      </c>
      <c r="D5" s="283">
        <v>2020437000</v>
      </c>
      <c r="E5" s="283">
        <v>2132689000</v>
      </c>
      <c r="F5" s="283">
        <v>2545641000</v>
      </c>
      <c r="G5" s="283">
        <v>3150339000</v>
      </c>
      <c r="H5" s="283">
        <v>3627286000</v>
      </c>
      <c r="I5" s="283">
        <v>4287763000</v>
      </c>
    </row>
    <row r="6" spans="2:9" x14ac:dyDescent="0.2">
      <c r="B6" s="284" t="s">
        <v>98</v>
      </c>
      <c r="C6" s="281">
        <v>-971697000</v>
      </c>
      <c r="D6" s="281">
        <v>-980187000</v>
      </c>
      <c r="E6" s="281">
        <v>-1029016000</v>
      </c>
      <c r="F6" s="281">
        <v>-1171551000</v>
      </c>
      <c r="G6" s="281">
        <v>-1542788000</v>
      </c>
      <c r="H6" s="281">
        <v>-1801916000</v>
      </c>
      <c r="I6" s="281">
        <v>-1902275000</v>
      </c>
    </row>
    <row r="7" spans="2:9" x14ac:dyDescent="0.2">
      <c r="B7" s="284" t="s">
        <v>99</v>
      </c>
      <c r="C7" s="281">
        <v>-971697000</v>
      </c>
      <c r="D7" s="281">
        <v>-980187000</v>
      </c>
      <c r="E7" s="281">
        <v>-1029016000</v>
      </c>
      <c r="F7" s="281">
        <v>-1171551000</v>
      </c>
      <c r="G7" s="281">
        <v>-1542788000</v>
      </c>
      <c r="H7" s="281">
        <v>-1801916000</v>
      </c>
      <c r="I7" s="281">
        <v>-1902275000</v>
      </c>
    </row>
    <row r="8" spans="2:9" s="282" customFormat="1" x14ac:dyDescent="0.2">
      <c r="B8" s="282" t="s">
        <v>100</v>
      </c>
      <c r="C8" s="283">
        <v>931642000</v>
      </c>
      <c r="D8" s="283">
        <v>1040250000</v>
      </c>
      <c r="E8" s="283">
        <v>1103673000</v>
      </c>
      <c r="F8" s="283">
        <v>1374090000</v>
      </c>
      <c r="G8" s="283">
        <v>1607551000</v>
      </c>
      <c r="H8" s="283">
        <v>1825370000</v>
      </c>
      <c r="I8" s="283">
        <v>2385488000</v>
      </c>
    </row>
    <row r="9" spans="2:9" x14ac:dyDescent="0.2">
      <c r="B9" s="284" t="s">
        <v>101</v>
      </c>
      <c r="C9" s="281">
        <v>-704974000</v>
      </c>
      <c r="D9" s="281">
        <v>-714143000</v>
      </c>
      <c r="E9" s="281">
        <v>-764501000</v>
      </c>
      <c r="F9" s="281">
        <v>-852546000</v>
      </c>
      <c r="G9" s="281">
        <v>-1039658000</v>
      </c>
      <c r="H9" s="281">
        <v>-1169802000</v>
      </c>
      <c r="I9" s="281">
        <v>-1448795000</v>
      </c>
    </row>
    <row r="10" spans="2:9" x14ac:dyDescent="0.2">
      <c r="B10" s="284" t="s">
        <v>102</v>
      </c>
      <c r="C10" s="281">
        <v>-682602000</v>
      </c>
      <c r="D10" s="281">
        <v>-690956000</v>
      </c>
      <c r="E10" s="281">
        <v>-736946000</v>
      </c>
      <c r="F10" s="281">
        <v>-823920000</v>
      </c>
      <c r="G10" s="281">
        <v>-1006314000</v>
      </c>
      <c r="H10" s="281">
        <v>-1131145000</v>
      </c>
      <c r="I10" s="281">
        <v>-1399624000</v>
      </c>
    </row>
    <row r="11" spans="2:9" x14ac:dyDescent="0.2">
      <c r="B11" s="284" t="s">
        <v>103</v>
      </c>
      <c r="C11" s="281">
        <v>-22372000</v>
      </c>
      <c r="D11" s="281">
        <v>-23187000</v>
      </c>
      <c r="E11" s="281">
        <v>-27555000</v>
      </c>
      <c r="F11" s="281">
        <v>-28626000</v>
      </c>
      <c r="G11" s="281">
        <v>-33344000</v>
      </c>
      <c r="H11" s="281">
        <v>-38657000</v>
      </c>
      <c r="I11" s="281">
        <v>-49171000</v>
      </c>
    </row>
    <row r="12" spans="2:9" s="282" customFormat="1" x14ac:dyDescent="0.2">
      <c r="B12" s="282" t="s">
        <v>104</v>
      </c>
      <c r="C12" s="283">
        <v>226668000</v>
      </c>
      <c r="D12" s="283">
        <v>326107000</v>
      </c>
      <c r="E12" s="283">
        <v>339172000</v>
      </c>
      <c r="F12" s="283">
        <v>521544000</v>
      </c>
      <c r="G12" s="283">
        <v>567893000</v>
      </c>
      <c r="H12" s="283">
        <v>655568000</v>
      </c>
      <c r="I12" s="283">
        <v>936693000</v>
      </c>
    </row>
    <row r="13" spans="2:9" x14ac:dyDescent="0.2">
      <c r="B13" s="284" t="s">
        <v>105</v>
      </c>
      <c r="C13" s="281">
        <v>-1888000</v>
      </c>
      <c r="D13" s="281">
        <v>3007000</v>
      </c>
      <c r="E13" s="281">
        <v>3059000</v>
      </c>
      <c r="F13" s="281">
        <v>-2424000</v>
      </c>
      <c r="G13" s="281">
        <v>-69000</v>
      </c>
      <c r="H13" s="281">
        <v>13331000</v>
      </c>
      <c r="I13" s="281">
        <v>51427000</v>
      </c>
    </row>
    <row r="14" spans="2:9" x14ac:dyDescent="0.2">
      <c r="B14" s="287" t="s">
        <v>106</v>
      </c>
      <c r="C14" s="283">
        <v>-4585000</v>
      </c>
      <c r="D14" s="283">
        <v>-4661000</v>
      </c>
      <c r="E14" s="283">
        <v>-5046000</v>
      </c>
      <c r="F14" s="283">
        <v>-6028000</v>
      </c>
      <c r="G14" s="283">
        <v>-2083000</v>
      </c>
      <c r="H14" s="283">
        <v>-3442000</v>
      </c>
      <c r="I14" s="283">
        <v>-2564000</v>
      </c>
    </row>
    <row r="15" spans="2:9" x14ac:dyDescent="0.2">
      <c r="B15" s="284" t="s">
        <v>107</v>
      </c>
      <c r="C15" s="281">
        <v>3057000</v>
      </c>
      <c r="D15" s="281">
        <v>6028000</v>
      </c>
      <c r="E15" s="281">
        <v>7261000</v>
      </c>
      <c r="F15" s="281">
        <v>2637000</v>
      </c>
      <c r="G15" s="281">
        <v>1901000</v>
      </c>
      <c r="H15" s="281">
        <v>15563000</v>
      </c>
      <c r="I15" s="281">
        <v>52208000</v>
      </c>
    </row>
    <row r="16" spans="2:9" x14ac:dyDescent="0.2">
      <c r="B16" s="284" t="s">
        <v>108</v>
      </c>
      <c r="C16" s="281">
        <v>-360000</v>
      </c>
      <c r="D16" s="281">
        <v>1640000</v>
      </c>
      <c r="E16" s="281">
        <v>844000</v>
      </c>
      <c r="F16" s="281">
        <v>967000</v>
      </c>
      <c r="G16" s="281">
        <v>113000</v>
      </c>
      <c r="H16" s="281">
        <v>1210000</v>
      </c>
      <c r="I16" s="281">
        <v>1783000</v>
      </c>
    </row>
    <row r="17" spans="2:9" x14ac:dyDescent="0.2">
      <c r="B17" t="s">
        <v>109</v>
      </c>
      <c r="C17" s="281">
        <v>224780000</v>
      </c>
      <c r="D17" s="281">
        <v>329114000</v>
      </c>
      <c r="E17" s="281">
        <v>342231000</v>
      </c>
      <c r="F17" s="281">
        <v>519120000</v>
      </c>
      <c r="G17" s="281">
        <v>567824000</v>
      </c>
      <c r="H17" s="281">
        <v>668899000</v>
      </c>
      <c r="I17" s="281">
        <v>988120000</v>
      </c>
    </row>
    <row r="18" spans="2:9" x14ac:dyDescent="0.2">
      <c r="B18" s="284" t="s">
        <v>110</v>
      </c>
      <c r="C18" s="281">
        <v>-4084000</v>
      </c>
      <c r="D18" s="281">
        <v>-180000</v>
      </c>
      <c r="E18" s="281">
        <v>-1365000</v>
      </c>
      <c r="F18" s="281">
        <v>-17606000</v>
      </c>
      <c r="G18" s="281">
        <v>-3186000</v>
      </c>
      <c r="H18" s="281">
        <v>-2817000</v>
      </c>
      <c r="I18" s="281">
        <v>-9179000</v>
      </c>
    </row>
    <row r="19" spans="2:9" x14ac:dyDescent="0.2">
      <c r="B19" s="284" t="s">
        <v>111</v>
      </c>
      <c r="C19" s="281">
        <v>-1667000</v>
      </c>
      <c r="D19" s="281"/>
      <c r="E19" s="281"/>
      <c r="F19" s="281"/>
      <c r="G19" s="281"/>
      <c r="H19" s="281"/>
      <c r="I19" s="281"/>
    </row>
    <row r="20" spans="2:9" x14ac:dyDescent="0.2">
      <c r="B20" s="284" t="s">
        <v>112</v>
      </c>
      <c r="C20" s="281">
        <v>-2417000</v>
      </c>
      <c r="D20" s="281">
        <v>-180000</v>
      </c>
      <c r="E20" s="281">
        <v>-1365000</v>
      </c>
      <c r="F20" s="281">
        <v>-17606000</v>
      </c>
      <c r="G20" s="281">
        <v>-3186000</v>
      </c>
      <c r="H20" s="281">
        <v>-2817000</v>
      </c>
      <c r="I20" s="281">
        <v>-9179000</v>
      </c>
    </row>
    <row r="21" spans="2:9" s="282" customFormat="1" x14ac:dyDescent="0.2">
      <c r="B21" s="282" t="s">
        <v>113</v>
      </c>
      <c r="C21" s="283">
        <v>220696000</v>
      </c>
      <c r="D21" s="283">
        <v>328934000</v>
      </c>
      <c r="E21" s="283">
        <v>340866000</v>
      </c>
      <c r="F21" s="283">
        <v>501514000</v>
      </c>
      <c r="G21" s="283">
        <v>564638000</v>
      </c>
      <c r="H21" s="283">
        <v>666082000</v>
      </c>
      <c r="I21" s="283">
        <v>978941000</v>
      </c>
    </row>
    <row r="22" spans="2:9" x14ac:dyDescent="0.2">
      <c r="B22" s="282" t="s">
        <v>114</v>
      </c>
      <c r="C22" s="283">
        <v>-106302000</v>
      </c>
      <c r="D22" s="283">
        <v>-64626000</v>
      </c>
      <c r="E22" s="283">
        <v>-64724000</v>
      </c>
      <c r="F22" s="283">
        <v>-118939000</v>
      </c>
      <c r="G22" s="283">
        <v>-112689000</v>
      </c>
      <c r="H22" s="283">
        <v>-149260000</v>
      </c>
      <c r="I22" s="283">
        <v>-219378000</v>
      </c>
    </row>
    <row r="23" spans="2:9" x14ac:dyDescent="0.2">
      <c r="B23" t="s">
        <v>115</v>
      </c>
      <c r="C23" s="281">
        <v>114394000</v>
      </c>
      <c r="D23" s="281">
        <v>264308000</v>
      </c>
      <c r="E23" s="281">
        <v>276142000</v>
      </c>
      <c r="F23" s="281">
        <v>382575000</v>
      </c>
      <c r="G23" s="281">
        <v>451949000</v>
      </c>
      <c r="H23" s="281">
        <v>516822000</v>
      </c>
      <c r="I23" s="281">
        <v>759563000</v>
      </c>
    </row>
    <row r="24" spans="2:9" s="282" customFormat="1" x14ac:dyDescent="0.2">
      <c r="B24" s="282" t="s">
        <v>116</v>
      </c>
      <c r="C24" s="283">
        <v>114394000</v>
      </c>
      <c r="D24" s="283">
        <v>264308000</v>
      </c>
      <c r="E24" s="283">
        <v>276142000</v>
      </c>
      <c r="F24" s="283">
        <v>382575000</v>
      </c>
      <c r="G24" s="283">
        <v>451949000</v>
      </c>
      <c r="H24" s="283">
        <v>516822000</v>
      </c>
      <c r="I24" s="283">
        <v>759563000</v>
      </c>
    </row>
    <row r="25" spans="2:9" x14ac:dyDescent="0.2">
      <c r="B25" t="s">
        <v>117</v>
      </c>
      <c r="C25" s="281">
        <v>114394000</v>
      </c>
      <c r="D25" s="281">
        <v>264308000</v>
      </c>
      <c r="E25" s="281">
        <v>276142000</v>
      </c>
      <c r="F25" s="281">
        <v>382575000</v>
      </c>
      <c r="G25" s="281">
        <v>451949000</v>
      </c>
      <c r="H25" s="281">
        <v>516822000</v>
      </c>
      <c r="I25" s="281">
        <v>759563000</v>
      </c>
    </row>
    <row r="26" spans="2:9" x14ac:dyDescent="0.2">
      <c r="B26" t="s">
        <v>118</v>
      </c>
      <c r="C26" s="281">
        <v>114394000</v>
      </c>
      <c r="D26" s="281">
        <v>264308000</v>
      </c>
      <c r="E26" s="281">
        <v>276142000</v>
      </c>
      <c r="F26" s="281">
        <v>382575000</v>
      </c>
      <c r="G26" s="281">
        <v>451949000</v>
      </c>
      <c r="H26" s="281">
        <v>516822000</v>
      </c>
      <c r="I26" s="281">
        <v>759563000</v>
      </c>
    </row>
    <row r="27" spans="2:9" x14ac:dyDescent="0.2">
      <c r="B27" t="s">
        <v>119</v>
      </c>
      <c r="C27" s="281">
        <v>114394000</v>
      </c>
      <c r="D27" s="281">
        <v>264308000</v>
      </c>
      <c r="E27" s="281">
        <v>276142000</v>
      </c>
      <c r="F27" s="281">
        <v>382575000</v>
      </c>
      <c r="G27" s="281">
        <v>451949000</v>
      </c>
      <c r="H27" s="281">
        <v>516822000</v>
      </c>
      <c r="I27" s="281">
        <v>759563000</v>
      </c>
    </row>
    <row r="28" spans="2:9" x14ac:dyDescent="0.2">
      <c r="B28" t="s">
        <v>120</v>
      </c>
      <c r="C28" s="281">
        <v>350695000</v>
      </c>
      <c r="D28" s="281">
        <v>445133000</v>
      </c>
      <c r="E28" s="281">
        <v>466378000</v>
      </c>
      <c r="F28" s="281">
        <v>641971000</v>
      </c>
      <c r="G28" s="281">
        <v>689590000</v>
      </c>
      <c r="H28" s="281">
        <v>792425000</v>
      </c>
      <c r="I28" s="281">
        <v>1105832000</v>
      </c>
    </row>
    <row r="29" spans="2:9" x14ac:dyDescent="0.2">
      <c r="B29" t="s">
        <v>6</v>
      </c>
      <c r="C29" s="281">
        <v>275240000</v>
      </c>
      <c r="D29" s="281">
        <v>371048000</v>
      </c>
      <c r="E29" s="281">
        <v>378084000</v>
      </c>
      <c r="F29" s="281">
        <v>562074000</v>
      </c>
      <c r="G29" s="281">
        <v>610771000</v>
      </c>
      <c r="H29" s="281">
        <v>703426000</v>
      </c>
      <c r="I29" s="281">
        <v>994280000</v>
      </c>
    </row>
    <row r="30" spans="2:9" x14ac:dyDescent="0.2">
      <c r="B30" t="s">
        <v>121</v>
      </c>
      <c r="C30" s="281">
        <v>226668000</v>
      </c>
      <c r="D30" s="281">
        <v>332342000</v>
      </c>
      <c r="E30" s="281">
        <v>342642000</v>
      </c>
      <c r="F30" s="281">
        <v>524109000</v>
      </c>
      <c r="G30" s="281">
        <v>570141000</v>
      </c>
      <c r="H30" s="281">
        <v>658309000</v>
      </c>
      <c r="I30" s="281">
        <v>939322000</v>
      </c>
    </row>
    <row r="31" spans="2:9" x14ac:dyDescent="0.2">
      <c r="B31" t="s">
        <v>11</v>
      </c>
      <c r="C31" s="281">
        <v>226668000</v>
      </c>
      <c r="D31" s="281">
        <v>326107000</v>
      </c>
      <c r="E31" s="281">
        <v>339172000</v>
      </c>
      <c r="F31" s="281">
        <v>521544000</v>
      </c>
      <c r="G31" s="281">
        <v>567893000</v>
      </c>
      <c r="H31" s="281">
        <v>655568000</v>
      </c>
      <c r="I31" s="281">
        <v>936693000</v>
      </c>
    </row>
    <row r="35" spans="2:9" x14ac:dyDescent="0.2">
      <c r="B35" s="277" t="s">
        <v>122</v>
      </c>
      <c r="C35" s="277"/>
      <c r="D35" s="277"/>
      <c r="E35" s="277"/>
      <c r="F35" s="277"/>
      <c r="G35" s="277"/>
      <c r="H35" s="277"/>
      <c r="I35" s="277"/>
    </row>
    <row r="36" spans="2:9" x14ac:dyDescent="0.2">
      <c r="B36" s="278" t="s">
        <v>86</v>
      </c>
      <c r="C36" s="278" t="s">
        <v>87</v>
      </c>
      <c r="D36" s="278" t="s">
        <v>88</v>
      </c>
      <c r="E36" s="278" t="s">
        <v>89</v>
      </c>
      <c r="F36" s="278" t="s">
        <v>90</v>
      </c>
      <c r="G36" s="278" t="s">
        <v>91</v>
      </c>
      <c r="H36" s="278" t="s">
        <v>92</v>
      </c>
      <c r="I36" s="278" t="s">
        <v>93</v>
      </c>
    </row>
    <row r="37" spans="2:9" x14ac:dyDescent="0.2">
      <c r="B37" s="278" t="s">
        <v>94</v>
      </c>
      <c r="C37" s="279">
        <v>43190</v>
      </c>
      <c r="D37" s="279">
        <v>43555</v>
      </c>
      <c r="E37" s="279">
        <v>43921</v>
      </c>
      <c r="F37" s="279">
        <v>44286</v>
      </c>
      <c r="G37" s="279">
        <v>44651</v>
      </c>
      <c r="H37" s="279">
        <v>45016</v>
      </c>
      <c r="I37" s="279">
        <v>45382</v>
      </c>
    </row>
    <row r="38" spans="2:9" x14ac:dyDescent="0.2">
      <c r="B38" s="280" t="s">
        <v>95</v>
      </c>
      <c r="C38" s="280" t="s">
        <v>96</v>
      </c>
      <c r="D38" s="280" t="s">
        <v>96</v>
      </c>
      <c r="E38" s="280" t="s">
        <v>96</v>
      </c>
      <c r="F38" s="280" t="s">
        <v>96</v>
      </c>
      <c r="G38" s="280" t="s">
        <v>96</v>
      </c>
      <c r="H38" s="280" t="s">
        <v>96</v>
      </c>
      <c r="I38" s="280" t="s">
        <v>96</v>
      </c>
    </row>
    <row r="39" spans="2:9" x14ac:dyDescent="0.2">
      <c r="B39" s="282" t="s">
        <v>123</v>
      </c>
      <c r="C39" s="283">
        <v>429970000</v>
      </c>
      <c r="D39" s="283">
        <v>589692000</v>
      </c>
      <c r="E39" s="283">
        <v>649436000</v>
      </c>
      <c r="F39" s="283">
        <v>1089361000</v>
      </c>
      <c r="G39" s="283">
        <v>843527000</v>
      </c>
      <c r="H39" s="283">
        <v>981795000</v>
      </c>
      <c r="I39" s="283">
        <v>1502051000</v>
      </c>
    </row>
    <row r="40" spans="2:9" x14ac:dyDescent="0.2">
      <c r="B40" s="284" t="s">
        <v>124</v>
      </c>
      <c r="C40" s="281">
        <v>429970000</v>
      </c>
      <c r="D40" s="281">
        <v>589692000</v>
      </c>
      <c r="E40" s="281">
        <v>649436000</v>
      </c>
      <c r="F40" s="281">
        <v>1089361000</v>
      </c>
      <c r="G40" s="281">
        <v>843527000</v>
      </c>
      <c r="H40" s="281">
        <v>981795000</v>
      </c>
      <c r="I40" s="281">
        <v>1502051000</v>
      </c>
    </row>
    <row r="41" spans="2:9" x14ac:dyDescent="0.2">
      <c r="B41" t="s">
        <v>125</v>
      </c>
      <c r="C41" s="281">
        <v>145880000</v>
      </c>
      <c r="D41" s="281">
        <v>191383000</v>
      </c>
      <c r="E41" s="281">
        <v>193747000</v>
      </c>
      <c r="F41" s="281">
        <v>222028000</v>
      </c>
      <c r="G41" s="281">
        <v>320931000</v>
      </c>
      <c r="H41" s="281">
        <v>306295000</v>
      </c>
      <c r="I41" s="281">
        <v>340124000</v>
      </c>
    </row>
    <row r="42" spans="2:9" x14ac:dyDescent="0.2">
      <c r="B42" s="284" t="s">
        <v>126</v>
      </c>
      <c r="C42" s="281">
        <v>143704000</v>
      </c>
      <c r="D42" s="281">
        <v>189043000</v>
      </c>
      <c r="E42" s="281">
        <v>185596000</v>
      </c>
      <c r="F42" s="281">
        <v>215718000</v>
      </c>
      <c r="G42" s="281">
        <v>302688000</v>
      </c>
      <c r="H42" s="281">
        <v>301511000</v>
      </c>
      <c r="I42" s="281">
        <v>296565000</v>
      </c>
    </row>
    <row r="43" spans="2:9" x14ac:dyDescent="0.2">
      <c r="B43" s="284" t="s">
        <v>127</v>
      </c>
      <c r="C43" s="281">
        <v>2176000</v>
      </c>
      <c r="D43" s="281">
        <v>2340000</v>
      </c>
      <c r="E43" s="281">
        <v>8151000</v>
      </c>
      <c r="F43" s="281">
        <v>6310000</v>
      </c>
      <c r="G43" s="281">
        <v>18243000</v>
      </c>
      <c r="H43" s="281">
        <v>4784000</v>
      </c>
      <c r="I43" s="281">
        <v>43559000</v>
      </c>
    </row>
    <row r="44" spans="2:9" x14ac:dyDescent="0.2">
      <c r="B44" t="s">
        <v>128</v>
      </c>
      <c r="C44" s="281">
        <v>299602000</v>
      </c>
      <c r="D44" s="281">
        <v>278842000</v>
      </c>
      <c r="E44" s="281">
        <v>311620000</v>
      </c>
      <c r="F44" s="281">
        <v>278242000</v>
      </c>
      <c r="G44" s="281">
        <v>506796000</v>
      </c>
      <c r="H44" s="281">
        <v>532852000</v>
      </c>
      <c r="I44" s="281">
        <v>474311000</v>
      </c>
    </row>
    <row r="45" spans="2:9" x14ac:dyDescent="0.2">
      <c r="B45" t="s">
        <v>129</v>
      </c>
      <c r="C45" s="281">
        <v>17639000</v>
      </c>
      <c r="D45" s="281">
        <v>19901000</v>
      </c>
      <c r="E45" s="281">
        <v>17760000</v>
      </c>
      <c r="F45" s="281">
        <v>16924000</v>
      </c>
      <c r="G45" s="281">
        <v>25610000</v>
      </c>
      <c r="H45" s="281">
        <v>33788000</v>
      </c>
      <c r="I45" s="281">
        <v>34284000</v>
      </c>
    </row>
    <row r="46" spans="2:9" x14ac:dyDescent="0.2">
      <c r="B46" t="s">
        <v>130</v>
      </c>
      <c r="C46" s="281">
        <v>17599000</v>
      </c>
      <c r="D46" s="281">
        <v>15587000</v>
      </c>
      <c r="E46" s="281">
        <v>21548000</v>
      </c>
      <c r="F46" s="281">
        <v>44244000</v>
      </c>
      <c r="G46" s="281">
        <v>55264000</v>
      </c>
      <c r="H46" s="281">
        <v>55523000</v>
      </c>
      <c r="I46" s="281">
        <v>92713000</v>
      </c>
    </row>
    <row r="47" spans="2:9" x14ac:dyDescent="0.2">
      <c r="B47" s="284" t="s">
        <v>131</v>
      </c>
      <c r="C47" s="281">
        <v>17599000</v>
      </c>
      <c r="D47" s="281">
        <v>15587000</v>
      </c>
      <c r="E47" s="281">
        <v>21548000</v>
      </c>
      <c r="F47" s="281">
        <v>44244000</v>
      </c>
      <c r="G47" s="281">
        <v>55264000</v>
      </c>
      <c r="H47" s="281">
        <v>55523000</v>
      </c>
      <c r="I47" s="281">
        <v>92713000</v>
      </c>
    </row>
    <row r="48" spans="2:9" x14ac:dyDescent="0.2">
      <c r="B48" s="282" t="s">
        <v>132</v>
      </c>
      <c r="C48" s="283">
        <v>910690000</v>
      </c>
      <c r="D48" s="283">
        <v>1095405000</v>
      </c>
      <c r="E48" s="283">
        <v>1194111000</v>
      </c>
      <c r="F48" s="283">
        <v>1650799000</v>
      </c>
      <c r="G48" s="283">
        <v>1752128000</v>
      </c>
      <c r="H48" s="283">
        <v>1910253000</v>
      </c>
      <c r="I48" s="283">
        <v>2443483000</v>
      </c>
    </row>
    <row r="49" spans="2:9" x14ac:dyDescent="0.2">
      <c r="B49" t="s">
        <v>133</v>
      </c>
      <c r="C49" s="281">
        <v>220162000</v>
      </c>
      <c r="D49" s="281">
        <v>213796000</v>
      </c>
      <c r="E49" s="281">
        <v>452559000</v>
      </c>
      <c r="F49" s="281">
        <v>393201000</v>
      </c>
      <c r="G49" s="281">
        <v>404908000</v>
      </c>
      <c r="H49" s="281">
        <v>479981000</v>
      </c>
      <c r="I49" s="281">
        <v>527791000</v>
      </c>
    </row>
    <row r="50" spans="2:9" x14ac:dyDescent="0.2">
      <c r="B50" s="284" t="s">
        <v>134</v>
      </c>
      <c r="C50" s="281">
        <v>430925000</v>
      </c>
      <c r="D50" s="281">
        <v>449735000</v>
      </c>
      <c r="E50" s="281">
        <v>694697000</v>
      </c>
      <c r="F50" s="281">
        <v>660106000</v>
      </c>
      <c r="G50" s="281">
        <v>687479000</v>
      </c>
      <c r="H50" s="281">
        <v>797489000</v>
      </c>
      <c r="I50" s="281">
        <v>876929000</v>
      </c>
    </row>
    <row r="51" spans="2:9" x14ac:dyDescent="0.2">
      <c r="B51" s="284" t="s">
        <v>135</v>
      </c>
      <c r="C51" s="281">
        <v>-210763000</v>
      </c>
      <c r="D51" s="281">
        <v>-235939000</v>
      </c>
      <c r="E51" s="281">
        <v>-242138000</v>
      </c>
      <c r="F51" s="281">
        <v>-266905000</v>
      </c>
      <c r="G51" s="281">
        <v>-282571000</v>
      </c>
      <c r="H51" s="281">
        <v>-317508000</v>
      </c>
      <c r="I51" s="281">
        <v>-349138000</v>
      </c>
    </row>
    <row r="52" spans="2:9" x14ac:dyDescent="0.2">
      <c r="B52" s="282" t="s">
        <v>136</v>
      </c>
      <c r="C52" s="283">
        <v>13990000</v>
      </c>
      <c r="D52" s="283">
        <v>13990000</v>
      </c>
      <c r="E52" s="283">
        <v>13990000</v>
      </c>
      <c r="F52" s="283">
        <v>13990000</v>
      </c>
      <c r="G52" s="283">
        <v>13990000</v>
      </c>
      <c r="H52" s="283">
        <v>13990000</v>
      </c>
      <c r="I52" s="283">
        <v>13990000</v>
      </c>
    </row>
    <row r="53" spans="2:9" x14ac:dyDescent="0.2">
      <c r="B53" t="s">
        <v>137</v>
      </c>
      <c r="C53" s="281">
        <v>57850000</v>
      </c>
      <c r="D53" s="281">
        <v>51494000</v>
      </c>
      <c r="E53" s="281">
        <v>48016000</v>
      </c>
      <c r="F53" s="281">
        <v>41945000</v>
      </c>
      <c r="G53" s="281">
        <v>39688000</v>
      </c>
      <c r="H53" s="281">
        <v>37457000</v>
      </c>
      <c r="I53" s="281">
        <v>27083000</v>
      </c>
    </row>
    <row r="54" spans="2:9" x14ac:dyDescent="0.2">
      <c r="B54" t="s">
        <v>138</v>
      </c>
      <c r="C54" s="281">
        <v>61687000</v>
      </c>
      <c r="D54" s="281">
        <v>52521000</v>
      </c>
      <c r="E54" s="281">
        <v>56442000</v>
      </c>
      <c r="F54" s="281">
        <v>67770000</v>
      </c>
      <c r="G54" s="281">
        <v>121536000</v>
      </c>
      <c r="H54" s="281">
        <v>114522000</v>
      </c>
      <c r="I54" s="281">
        <v>123232000</v>
      </c>
    </row>
    <row r="55" spans="2:9" x14ac:dyDescent="0.2">
      <c r="B55" t="s">
        <v>139</v>
      </c>
      <c r="C55" s="281">
        <v>38381000</v>
      </c>
      <c r="D55" s="281">
        <v>30870000</v>
      </c>
      <c r="E55" s="281">
        <v>28233000</v>
      </c>
      <c r="F55" s="281">
        <v>37194000</v>
      </c>
      <c r="G55" s="281">
        <v>64217000</v>
      </c>
      <c r="H55" s="281">
        <v>72592000</v>
      </c>
      <c r="I55" s="281">
        <v>72584000</v>
      </c>
    </row>
    <row r="56" spans="2:9" x14ac:dyDescent="0.2">
      <c r="B56" t="s">
        <v>140</v>
      </c>
      <c r="C56" s="281"/>
      <c r="D56" s="281"/>
      <c r="E56" s="281">
        <v>348000</v>
      </c>
      <c r="F56" s="281">
        <v>1675000</v>
      </c>
      <c r="G56" s="281">
        <v>973000</v>
      </c>
      <c r="H56" s="281">
        <v>3281000</v>
      </c>
      <c r="I56" s="281">
        <v>3003000</v>
      </c>
    </row>
    <row r="57" spans="2:9" x14ac:dyDescent="0.2">
      <c r="B57" t="s">
        <v>141</v>
      </c>
      <c r="C57" s="281">
        <v>23306000</v>
      </c>
      <c r="D57" s="281">
        <v>21651000</v>
      </c>
      <c r="E57" s="281">
        <v>27861000</v>
      </c>
      <c r="F57" s="281">
        <v>28901000</v>
      </c>
      <c r="G57" s="281">
        <v>56346000</v>
      </c>
      <c r="H57" s="281">
        <v>38649000</v>
      </c>
      <c r="I57" s="281">
        <v>47645000</v>
      </c>
    </row>
    <row r="58" spans="2:9" x14ac:dyDescent="0.2">
      <c r="B58" s="282" t="s">
        <v>142</v>
      </c>
      <c r="C58" s="283">
        <v>353689000</v>
      </c>
      <c r="D58" s="283">
        <v>331801000</v>
      </c>
      <c r="E58" s="283">
        <v>571007000</v>
      </c>
      <c r="F58" s="283">
        <v>516906000</v>
      </c>
      <c r="G58" s="283">
        <v>580122000</v>
      </c>
      <c r="H58" s="283">
        <v>645950000</v>
      </c>
      <c r="I58" s="283">
        <v>692096000</v>
      </c>
    </row>
    <row r="59" spans="2:9" x14ac:dyDescent="0.2">
      <c r="B59" s="285" t="s">
        <v>143</v>
      </c>
      <c r="C59" s="286">
        <v>1264379000</v>
      </c>
      <c r="D59" s="286">
        <v>1427206000</v>
      </c>
      <c r="E59" s="286">
        <v>1765118000</v>
      </c>
      <c r="F59" s="286">
        <v>2167705000</v>
      </c>
      <c r="G59" s="286">
        <v>2332250000</v>
      </c>
      <c r="H59" s="286">
        <v>2556203000</v>
      </c>
      <c r="I59" s="286">
        <v>3135579000</v>
      </c>
    </row>
    <row r="60" spans="2:9" x14ac:dyDescent="0.2">
      <c r="B60" t="s">
        <v>144</v>
      </c>
      <c r="C60" s="281">
        <v>93939000</v>
      </c>
      <c r="D60" s="281">
        <v>124974000</v>
      </c>
      <c r="E60" s="281">
        <v>147892000</v>
      </c>
      <c r="F60" s="281">
        <v>231632000</v>
      </c>
      <c r="G60" s="281">
        <v>327487000</v>
      </c>
      <c r="H60" s="281">
        <v>265605000</v>
      </c>
      <c r="I60" s="281">
        <v>378503000</v>
      </c>
    </row>
    <row r="61" spans="2:9" x14ac:dyDescent="0.2">
      <c r="B61" t="s">
        <v>145</v>
      </c>
      <c r="C61" s="281">
        <v>74908000</v>
      </c>
      <c r="D61" s="281">
        <v>75706000</v>
      </c>
      <c r="E61" s="281">
        <v>59604000</v>
      </c>
      <c r="F61" s="281">
        <v>97675000</v>
      </c>
      <c r="G61" s="281">
        <v>85119000</v>
      </c>
      <c r="H61" s="281">
        <v>91774000</v>
      </c>
      <c r="I61" s="281">
        <v>153067000</v>
      </c>
    </row>
    <row r="62" spans="2:9" x14ac:dyDescent="0.2">
      <c r="B62" t="s">
        <v>146</v>
      </c>
      <c r="C62" s="281">
        <v>578000</v>
      </c>
      <c r="D62" s="281">
        <v>603000</v>
      </c>
      <c r="E62" s="281">
        <v>638000</v>
      </c>
      <c r="F62" s="281"/>
      <c r="G62" s="281"/>
      <c r="H62" s="281"/>
      <c r="I62" s="281"/>
    </row>
    <row r="63" spans="2:9" x14ac:dyDescent="0.2">
      <c r="B63" t="s">
        <v>147</v>
      </c>
      <c r="C63" s="281"/>
      <c r="D63" s="281"/>
      <c r="E63" s="281">
        <v>49091000</v>
      </c>
      <c r="F63" s="281">
        <v>46768000</v>
      </c>
      <c r="G63" s="281">
        <v>50098000</v>
      </c>
      <c r="H63" s="281">
        <v>50765000</v>
      </c>
      <c r="I63" s="281">
        <v>53581000</v>
      </c>
    </row>
    <row r="64" spans="2:9" x14ac:dyDescent="0.2">
      <c r="B64" t="s">
        <v>148</v>
      </c>
      <c r="C64" s="281">
        <v>19741000</v>
      </c>
      <c r="D64" s="281">
        <v>49241000</v>
      </c>
      <c r="E64" s="281">
        <v>43721000</v>
      </c>
      <c r="F64" s="281">
        <v>92293000</v>
      </c>
      <c r="G64" s="281">
        <v>78980000</v>
      </c>
      <c r="H64" s="281">
        <v>89236000</v>
      </c>
      <c r="I64" s="281">
        <v>134842000</v>
      </c>
    </row>
    <row r="65" spans="2:9" x14ac:dyDescent="0.2">
      <c r="B65" t="s">
        <v>149</v>
      </c>
      <c r="C65" s="281">
        <v>11006000</v>
      </c>
      <c r="D65" s="281">
        <v>19283000</v>
      </c>
      <c r="E65" s="281">
        <v>11104000</v>
      </c>
      <c r="F65" s="281">
        <v>36920000</v>
      </c>
      <c r="G65" s="281">
        <v>12426000</v>
      </c>
      <c r="H65" s="281">
        <v>17322000</v>
      </c>
      <c r="I65" s="281">
        <v>52338000</v>
      </c>
    </row>
    <row r="66" spans="2:9" x14ac:dyDescent="0.2">
      <c r="B66" t="s">
        <v>150</v>
      </c>
      <c r="C66" s="281">
        <v>8582000</v>
      </c>
      <c r="D66" s="281">
        <v>5171000</v>
      </c>
      <c r="E66" s="281">
        <v>6950000</v>
      </c>
      <c r="F66" s="281">
        <v>17656000</v>
      </c>
      <c r="G66" s="281">
        <v>26687000</v>
      </c>
      <c r="H66" s="281">
        <v>26592000</v>
      </c>
      <c r="I66" s="281">
        <v>27177000</v>
      </c>
    </row>
    <row r="67" spans="2:9" x14ac:dyDescent="0.2">
      <c r="B67" t="s">
        <v>151</v>
      </c>
      <c r="C67" s="281">
        <v>153000</v>
      </c>
      <c r="D67" s="281">
        <v>24787000</v>
      </c>
      <c r="E67" s="281">
        <v>25667000</v>
      </c>
      <c r="F67" s="281">
        <v>37717000</v>
      </c>
      <c r="G67" s="281">
        <v>39867000</v>
      </c>
      <c r="H67" s="281">
        <v>45322000</v>
      </c>
      <c r="I67" s="281">
        <v>55327000</v>
      </c>
    </row>
    <row r="68" spans="2:9" x14ac:dyDescent="0.2">
      <c r="B68" t="s">
        <v>152</v>
      </c>
      <c r="C68" s="281">
        <v>189166000</v>
      </c>
      <c r="D68" s="281">
        <v>250524000</v>
      </c>
      <c r="E68" s="281">
        <v>300946000</v>
      </c>
      <c r="F68" s="281">
        <v>468368000</v>
      </c>
      <c r="G68" s="281">
        <v>541684000</v>
      </c>
      <c r="H68" s="281">
        <v>497380000</v>
      </c>
      <c r="I68" s="281">
        <v>719993000</v>
      </c>
    </row>
    <row r="69" spans="2:9" x14ac:dyDescent="0.2">
      <c r="B69" t="s">
        <v>153</v>
      </c>
      <c r="C69" s="281">
        <v>31504000</v>
      </c>
      <c r="D69" s="281">
        <v>30901000</v>
      </c>
      <c r="E69" s="281">
        <v>30263000</v>
      </c>
      <c r="F69" s="281"/>
      <c r="G69" s="281"/>
      <c r="H69" s="281"/>
      <c r="I69" s="281"/>
    </row>
    <row r="70" spans="2:9" x14ac:dyDescent="0.2">
      <c r="B70" t="s">
        <v>154</v>
      </c>
      <c r="C70" s="281"/>
      <c r="D70" s="281"/>
      <c r="E70" s="281">
        <v>215724000</v>
      </c>
      <c r="F70" s="281">
        <v>176274000</v>
      </c>
      <c r="G70" s="281">
        <v>171972000</v>
      </c>
      <c r="H70" s="281">
        <v>195723000</v>
      </c>
      <c r="I70" s="281">
        <v>213298000</v>
      </c>
    </row>
    <row r="71" spans="2:9" x14ac:dyDescent="0.2">
      <c r="B71" t="s">
        <v>155</v>
      </c>
      <c r="C71" s="281">
        <v>102930000</v>
      </c>
      <c r="D71" s="281">
        <v>100651000</v>
      </c>
      <c r="E71" s="281">
        <v>78065000</v>
      </c>
      <c r="F71" s="281">
        <v>78838000</v>
      </c>
      <c r="G71" s="281">
        <v>79769000</v>
      </c>
      <c r="H71" s="281">
        <v>97367000</v>
      </c>
      <c r="I71" s="281">
        <v>94820000</v>
      </c>
    </row>
    <row r="72" spans="2:9" x14ac:dyDescent="0.2">
      <c r="B72" t="s">
        <v>156</v>
      </c>
      <c r="C72" s="281">
        <v>102930000</v>
      </c>
      <c r="D72" s="281">
        <v>100651000</v>
      </c>
      <c r="E72" s="281">
        <v>78065000</v>
      </c>
      <c r="F72" s="281">
        <v>78838000</v>
      </c>
      <c r="G72" s="281">
        <v>79769000</v>
      </c>
      <c r="H72" s="281">
        <v>97367000</v>
      </c>
      <c r="I72" s="281">
        <v>94820000</v>
      </c>
    </row>
    <row r="73" spans="2:9" x14ac:dyDescent="0.2">
      <c r="B73" t="s">
        <v>157</v>
      </c>
      <c r="C73" s="281">
        <v>134434000</v>
      </c>
      <c r="D73" s="281">
        <v>131552000</v>
      </c>
      <c r="E73" s="281">
        <v>324052000</v>
      </c>
      <c r="F73" s="281">
        <v>255112000</v>
      </c>
      <c r="G73" s="281">
        <v>251741000</v>
      </c>
      <c r="H73" s="281">
        <v>293090000</v>
      </c>
      <c r="I73" s="281">
        <v>308118000</v>
      </c>
    </row>
    <row r="74" spans="2:9" x14ac:dyDescent="0.2">
      <c r="B74" s="285" t="s">
        <v>158</v>
      </c>
      <c r="C74" s="286">
        <v>323600000</v>
      </c>
      <c r="D74" s="286">
        <v>382076000</v>
      </c>
      <c r="E74" s="286">
        <v>624998000</v>
      </c>
      <c r="F74" s="286">
        <v>723480000</v>
      </c>
      <c r="G74" s="286">
        <v>793425000</v>
      </c>
      <c r="H74" s="286">
        <v>790470000</v>
      </c>
      <c r="I74" s="286">
        <v>1028111000</v>
      </c>
    </row>
    <row r="75" spans="2:9" x14ac:dyDescent="0.2">
      <c r="B75" t="s">
        <v>159</v>
      </c>
      <c r="C75" s="281">
        <v>940779000</v>
      </c>
      <c r="D75" s="281">
        <v>1045130000</v>
      </c>
      <c r="E75" s="281">
        <v>1140120000</v>
      </c>
      <c r="F75" s="281">
        <v>1444225000</v>
      </c>
      <c r="G75" s="281">
        <v>1538825000</v>
      </c>
      <c r="H75" s="281">
        <v>1765733000</v>
      </c>
      <c r="I75" s="281">
        <v>2107468000</v>
      </c>
    </row>
    <row r="76" spans="2:9" x14ac:dyDescent="0.2">
      <c r="B76" t="s">
        <v>160</v>
      </c>
      <c r="C76" s="281">
        <v>304000</v>
      </c>
      <c r="D76" s="281">
        <v>291000</v>
      </c>
      <c r="E76" s="281">
        <v>280000</v>
      </c>
      <c r="F76" s="281">
        <v>279000</v>
      </c>
      <c r="G76" s="281">
        <v>270000</v>
      </c>
      <c r="H76" s="281">
        <v>262000</v>
      </c>
      <c r="I76" s="281">
        <v>255000</v>
      </c>
    </row>
    <row r="77" spans="2:9" x14ac:dyDescent="0.2">
      <c r="B77" t="s">
        <v>161</v>
      </c>
      <c r="C77" s="281">
        <v>167587000</v>
      </c>
      <c r="D77" s="281">
        <v>178227000</v>
      </c>
      <c r="E77" s="281">
        <v>191451000</v>
      </c>
      <c r="F77" s="281">
        <v>203310000</v>
      </c>
      <c r="G77" s="281">
        <v>210825000</v>
      </c>
      <c r="H77" s="281">
        <v>232932000</v>
      </c>
      <c r="I77" s="281">
        <v>245149000</v>
      </c>
    </row>
    <row r="78" spans="2:9" x14ac:dyDescent="0.2">
      <c r="B78" t="s">
        <v>162</v>
      </c>
      <c r="C78" s="281">
        <v>785871000</v>
      </c>
      <c r="D78" s="281">
        <v>889266000</v>
      </c>
      <c r="E78" s="281">
        <v>973948000</v>
      </c>
      <c r="F78" s="281">
        <v>1257379000</v>
      </c>
      <c r="G78" s="281">
        <v>1352685000</v>
      </c>
      <c r="H78" s="281">
        <v>1571574000</v>
      </c>
      <c r="I78" s="281">
        <v>1912797000</v>
      </c>
    </row>
    <row r="79" spans="2:9" x14ac:dyDescent="0.2">
      <c r="B79" t="s">
        <v>163</v>
      </c>
      <c r="C79" s="281">
        <v>-12983000</v>
      </c>
      <c r="D79" s="281">
        <v>-22654000</v>
      </c>
      <c r="E79" s="281">
        <v>-25559000</v>
      </c>
      <c r="F79" s="281">
        <v>-16743000</v>
      </c>
      <c r="G79" s="281">
        <v>-24955000</v>
      </c>
      <c r="H79" s="281">
        <v>-39035000</v>
      </c>
      <c r="I79" s="281">
        <v>-50733000</v>
      </c>
    </row>
    <row r="80" spans="2:9" x14ac:dyDescent="0.2">
      <c r="B80" s="285" t="s">
        <v>164</v>
      </c>
      <c r="C80" s="286">
        <v>940779000</v>
      </c>
      <c r="D80" s="286">
        <v>1045130000</v>
      </c>
      <c r="E80" s="286">
        <v>1140120000</v>
      </c>
      <c r="F80" s="286">
        <v>1444225000</v>
      </c>
      <c r="G80" s="286">
        <v>1538825000</v>
      </c>
      <c r="H80" s="286">
        <v>1765733000</v>
      </c>
      <c r="I80" s="286">
        <v>2107468000</v>
      </c>
    </row>
    <row r="81" spans="2:9" x14ac:dyDescent="0.2">
      <c r="B81" t="s">
        <v>165</v>
      </c>
      <c r="C81" s="281">
        <v>1264379000</v>
      </c>
      <c r="D81" s="281">
        <v>1427206000</v>
      </c>
      <c r="E81" s="281">
        <v>1765118000</v>
      </c>
      <c r="F81" s="281">
        <v>2167705000</v>
      </c>
      <c r="G81" s="281">
        <v>2332250000</v>
      </c>
      <c r="H81" s="281">
        <v>2556203000</v>
      </c>
      <c r="I81" s="281">
        <v>3135579000</v>
      </c>
    </row>
    <row r="82" spans="2:9" x14ac:dyDescent="0.2">
      <c r="B82" t="s">
        <v>166</v>
      </c>
      <c r="C82" s="281">
        <v>868939000</v>
      </c>
      <c r="D82" s="281">
        <v>979646000</v>
      </c>
      <c r="E82" s="281">
        <v>1078114000</v>
      </c>
      <c r="F82" s="281">
        <v>1388290000</v>
      </c>
      <c r="G82" s="281">
        <v>1485147000</v>
      </c>
      <c r="H82" s="281">
        <v>1714286000</v>
      </c>
      <c r="I82" s="281">
        <v>2066395000</v>
      </c>
    </row>
    <row r="83" spans="2:9" x14ac:dyDescent="0.2">
      <c r="B83" s="282" t="s">
        <v>167</v>
      </c>
      <c r="C83" s="283">
        <v>32082000</v>
      </c>
      <c r="D83" s="283">
        <v>31504000</v>
      </c>
      <c r="E83" s="283">
        <v>295716000</v>
      </c>
      <c r="F83" s="283">
        <v>223042000</v>
      </c>
      <c r="G83" s="283">
        <v>222070000</v>
      </c>
      <c r="H83" s="283">
        <v>246488000</v>
      </c>
      <c r="I83" s="283">
        <v>266879000</v>
      </c>
    </row>
    <row r="84" spans="2:9" x14ac:dyDescent="0.2">
      <c r="B84" t="s">
        <v>168</v>
      </c>
      <c r="C84" s="281">
        <v>-397888000</v>
      </c>
      <c r="D84" s="281">
        <v>-558188000</v>
      </c>
      <c r="E84" s="281">
        <v>-353720000</v>
      </c>
      <c r="F84" s="281">
        <v>-866319000</v>
      </c>
      <c r="G84" s="281">
        <v>-621457000</v>
      </c>
      <c r="H84" s="281">
        <v>-735307000</v>
      </c>
      <c r="I84" s="281">
        <v>-1235172000</v>
      </c>
    </row>
    <row r="85" spans="2:9" x14ac:dyDescent="0.2">
      <c r="B85" t="s">
        <v>169</v>
      </c>
      <c r="C85" s="281">
        <v>721524000</v>
      </c>
      <c r="D85" s="281">
        <v>844881000</v>
      </c>
      <c r="E85" s="281">
        <v>893165000</v>
      </c>
      <c r="F85" s="281">
        <v>1182431000</v>
      </c>
      <c r="G85" s="281">
        <v>1210444000</v>
      </c>
      <c r="H85" s="281">
        <v>1412873000</v>
      </c>
      <c r="I85" s="281">
        <v>1723490000</v>
      </c>
    </row>
    <row r="86" spans="2:9" x14ac:dyDescent="0.2">
      <c r="B86" t="s">
        <v>170</v>
      </c>
      <c r="C86" s="281">
        <v>292132000</v>
      </c>
      <c r="D86" s="281">
        <v>255792000</v>
      </c>
      <c r="E86" s="281">
        <v>293458000</v>
      </c>
      <c r="F86" s="281">
        <v>139838000</v>
      </c>
      <c r="G86" s="281">
        <v>417015000</v>
      </c>
      <c r="H86" s="281">
        <v>481843000</v>
      </c>
      <c r="I86" s="281">
        <v>275020000</v>
      </c>
    </row>
    <row r="87" spans="2:9" x14ac:dyDescent="0.2">
      <c r="B87" t="s">
        <v>171</v>
      </c>
      <c r="C87" s="281">
        <v>972861000</v>
      </c>
      <c r="D87" s="281">
        <v>1076634000</v>
      </c>
      <c r="E87" s="281">
        <v>1435836000</v>
      </c>
      <c r="F87" s="281">
        <v>1667267000</v>
      </c>
      <c r="G87" s="281">
        <v>1760895000</v>
      </c>
      <c r="H87" s="281">
        <v>2012221000</v>
      </c>
      <c r="I87" s="281">
        <v>2374347000</v>
      </c>
    </row>
    <row r="88" spans="2:9" x14ac:dyDescent="0.2">
      <c r="B88" t="s">
        <v>172</v>
      </c>
      <c r="C88" s="281">
        <v>542891000</v>
      </c>
      <c r="D88" s="281">
        <v>486942000</v>
      </c>
      <c r="E88" s="281">
        <v>786400000</v>
      </c>
      <c r="F88" s="281">
        <v>577906000</v>
      </c>
      <c r="G88" s="281">
        <v>917368000</v>
      </c>
      <c r="H88" s="281">
        <v>1030426000</v>
      </c>
      <c r="I88" s="281">
        <v>872296000</v>
      </c>
    </row>
    <row r="89" spans="2:9" x14ac:dyDescent="0.2">
      <c r="B89" t="s">
        <v>173</v>
      </c>
      <c r="C89" s="281">
        <v>1075213000</v>
      </c>
      <c r="D89" s="281">
        <v>1176682000</v>
      </c>
      <c r="E89" s="281">
        <v>1464172000</v>
      </c>
      <c r="F89" s="281">
        <v>1699337000</v>
      </c>
      <c r="G89" s="281">
        <v>1790566000</v>
      </c>
      <c r="H89" s="281">
        <v>2058823000</v>
      </c>
      <c r="I89" s="281">
        <v>2415586000</v>
      </c>
    </row>
    <row r="92" spans="2:9" x14ac:dyDescent="0.2">
      <c r="B92" s="276" t="s">
        <v>174</v>
      </c>
      <c r="C92" s="276"/>
      <c r="D92" s="276"/>
      <c r="E92" s="276"/>
      <c r="F92" s="276"/>
      <c r="G92" s="276"/>
      <c r="H92" s="276"/>
      <c r="I92" s="276"/>
    </row>
    <row r="94" spans="2:9" x14ac:dyDescent="0.2">
      <c r="B94" s="278" t="s">
        <v>86</v>
      </c>
      <c r="C94" s="278" t="s">
        <v>87</v>
      </c>
      <c r="D94" s="278" t="s">
        <v>88</v>
      </c>
      <c r="E94" s="278" t="s">
        <v>89</v>
      </c>
      <c r="F94" s="278" t="s">
        <v>90</v>
      </c>
      <c r="G94" s="278" t="s">
        <v>91</v>
      </c>
      <c r="H94" s="278" t="s">
        <v>92</v>
      </c>
      <c r="I94" s="278" t="s">
        <v>93</v>
      </c>
    </row>
    <row r="95" spans="2:9" x14ac:dyDescent="0.2">
      <c r="B95" s="278" t="s">
        <v>94</v>
      </c>
      <c r="C95" s="279">
        <v>43190</v>
      </c>
      <c r="D95" s="279">
        <v>43555</v>
      </c>
      <c r="E95" s="279">
        <v>43921</v>
      </c>
      <c r="F95" s="279">
        <v>44286</v>
      </c>
      <c r="G95" s="279">
        <v>44651</v>
      </c>
      <c r="H95" s="279">
        <v>45016</v>
      </c>
      <c r="I95" s="279">
        <v>45382</v>
      </c>
    </row>
    <row r="96" spans="2:9" x14ac:dyDescent="0.2">
      <c r="B96" s="280" t="s">
        <v>95</v>
      </c>
      <c r="C96" s="280" t="s">
        <v>96</v>
      </c>
      <c r="D96" s="280" t="s">
        <v>96</v>
      </c>
      <c r="E96" s="280" t="s">
        <v>96</v>
      </c>
      <c r="F96" s="280" t="s">
        <v>96</v>
      </c>
      <c r="G96" s="280" t="s">
        <v>96</v>
      </c>
      <c r="H96" s="280" t="s">
        <v>96</v>
      </c>
      <c r="I96" s="280" t="s">
        <v>96</v>
      </c>
    </row>
    <row r="97" spans="2:9" x14ac:dyDescent="0.2">
      <c r="B97" t="s">
        <v>117</v>
      </c>
      <c r="C97" s="281">
        <v>114394000</v>
      </c>
      <c r="D97" s="281">
        <v>264308000</v>
      </c>
      <c r="E97" s="281">
        <v>276142000</v>
      </c>
      <c r="F97" s="281">
        <v>382575000</v>
      </c>
      <c r="G97" s="281">
        <v>451949000</v>
      </c>
      <c r="H97" s="281">
        <v>516822000</v>
      </c>
      <c r="I97" s="281">
        <v>759563000</v>
      </c>
    </row>
    <row r="98" spans="2:9" x14ac:dyDescent="0.2">
      <c r="B98" s="282" t="s">
        <v>175</v>
      </c>
      <c r="C98" s="283">
        <v>48572000</v>
      </c>
      <c r="D98" s="283">
        <v>44941000</v>
      </c>
      <c r="E98" s="283">
        <v>38912000</v>
      </c>
      <c r="F98" s="283">
        <v>40530000</v>
      </c>
      <c r="G98" s="283">
        <v>42878000</v>
      </c>
      <c r="H98" s="283">
        <v>47858000</v>
      </c>
      <c r="I98" s="283">
        <v>57587000</v>
      </c>
    </row>
    <row r="99" spans="2:9" x14ac:dyDescent="0.2">
      <c r="B99" t="s">
        <v>176</v>
      </c>
      <c r="C99" s="281"/>
      <c r="D99" s="281">
        <v>6235000</v>
      </c>
      <c r="E99" s="281">
        <v>3470000</v>
      </c>
      <c r="F99" s="281">
        <v>2565000</v>
      </c>
      <c r="G99" s="281">
        <v>2248000</v>
      </c>
      <c r="H99" s="281">
        <v>2741000</v>
      </c>
      <c r="I99" s="281">
        <v>2629000</v>
      </c>
    </row>
    <row r="100" spans="2:9" x14ac:dyDescent="0.2">
      <c r="B100" t="s">
        <v>177</v>
      </c>
      <c r="C100" s="281">
        <v>48572000</v>
      </c>
      <c r="D100" s="281">
        <v>38706000</v>
      </c>
      <c r="E100" s="281">
        <v>35442000</v>
      </c>
      <c r="F100" s="281">
        <v>37965000</v>
      </c>
      <c r="G100" s="281">
        <v>40630000</v>
      </c>
      <c r="H100" s="281">
        <v>45117000</v>
      </c>
      <c r="I100" s="281">
        <v>54958000</v>
      </c>
    </row>
    <row r="101" spans="2:9" x14ac:dyDescent="0.2">
      <c r="B101" t="s">
        <v>178</v>
      </c>
      <c r="C101" s="281"/>
      <c r="D101" s="281"/>
      <c r="E101" s="281"/>
      <c r="F101" s="281">
        <v>737000</v>
      </c>
      <c r="G101" s="281">
        <v>1552000</v>
      </c>
      <c r="H101" s="281">
        <v>2149000</v>
      </c>
      <c r="I101" s="281">
        <v>2075000</v>
      </c>
    </row>
    <row r="102" spans="2:9" x14ac:dyDescent="0.2">
      <c r="B102" t="s">
        <v>179</v>
      </c>
      <c r="C102" s="281">
        <v>29101000</v>
      </c>
      <c r="D102" s="281">
        <v>25215000</v>
      </c>
      <c r="E102" s="281">
        <v>22267000</v>
      </c>
      <c r="F102" s="281">
        <v>36001000</v>
      </c>
      <c r="G102" s="281">
        <v>1971000</v>
      </c>
      <c r="H102" s="281">
        <v>24895000</v>
      </c>
      <c r="I102" s="281">
        <v>46153000</v>
      </c>
    </row>
    <row r="103" spans="2:9" x14ac:dyDescent="0.2">
      <c r="B103" t="s">
        <v>180</v>
      </c>
      <c r="C103" s="281">
        <v>387000</v>
      </c>
      <c r="D103" s="281">
        <v>277000</v>
      </c>
      <c r="E103" s="281">
        <v>698000</v>
      </c>
      <c r="F103" s="281">
        <v>1019000</v>
      </c>
      <c r="G103" s="281">
        <v>107000</v>
      </c>
      <c r="H103" s="281">
        <v>2691000</v>
      </c>
      <c r="I103" s="281">
        <v>407000</v>
      </c>
    </row>
    <row r="104" spans="2:9" x14ac:dyDescent="0.2">
      <c r="B104" t="s">
        <v>181</v>
      </c>
      <c r="C104" s="281">
        <v>4084000</v>
      </c>
      <c r="D104" s="281">
        <v>475000</v>
      </c>
      <c r="E104" s="281">
        <v>1365000</v>
      </c>
      <c r="F104" s="281">
        <v>17606000</v>
      </c>
      <c r="G104" s="281">
        <v>3186000</v>
      </c>
      <c r="H104" s="281">
        <v>2817000</v>
      </c>
      <c r="I104" s="281">
        <v>9179000</v>
      </c>
    </row>
    <row r="105" spans="2:9" x14ac:dyDescent="0.2">
      <c r="B105" t="s">
        <v>182</v>
      </c>
      <c r="C105" s="281">
        <v>14306000</v>
      </c>
      <c r="D105" s="281">
        <v>14774000</v>
      </c>
      <c r="E105" s="281">
        <v>14477000</v>
      </c>
      <c r="F105" s="281">
        <v>22701000</v>
      </c>
      <c r="G105" s="281">
        <v>26816000</v>
      </c>
      <c r="H105" s="281">
        <v>26897000</v>
      </c>
      <c r="I105" s="281">
        <v>37288000</v>
      </c>
    </row>
    <row r="106" spans="2:9" x14ac:dyDescent="0.2">
      <c r="B106" t="s">
        <v>183</v>
      </c>
      <c r="C106" s="281">
        <v>-1982000</v>
      </c>
      <c r="D106" s="281">
        <v>-546000</v>
      </c>
      <c r="E106" s="281"/>
      <c r="F106" s="281"/>
      <c r="G106" s="281"/>
      <c r="H106" s="281"/>
      <c r="I106" s="281"/>
    </row>
    <row r="107" spans="2:9" x14ac:dyDescent="0.2">
      <c r="B107" t="s">
        <v>184</v>
      </c>
      <c r="C107" s="281">
        <v>4168000</v>
      </c>
      <c r="D107" s="281">
        <v>2849000</v>
      </c>
      <c r="E107" s="281">
        <v>3498000</v>
      </c>
      <c r="F107" s="281">
        <v>3053000</v>
      </c>
      <c r="G107" s="281">
        <v>-342000</v>
      </c>
      <c r="H107" s="281">
        <v>1983000</v>
      </c>
      <c r="I107" s="281">
        <v>789000</v>
      </c>
    </row>
    <row r="108" spans="2:9" x14ac:dyDescent="0.2">
      <c r="B108" t="s">
        <v>185</v>
      </c>
      <c r="C108" s="281">
        <v>8138000</v>
      </c>
      <c r="D108" s="281">
        <v>7386000</v>
      </c>
      <c r="E108" s="281">
        <v>2229000</v>
      </c>
      <c r="F108" s="281">
        <v>-8378000</v>
      </c>
      <c r="G108" s="281">
        <v>-27796000</v>
      </c>
      <c r="H108" s="281">
        <v>-9493000</v>
      </c>
      <c r="I108" s="281">
        <v>-1510000</v>
      </c>
    </row>
    <row r="109" spans="2:9" x14ac:dyDescent="0.2">
      <c r="B109" t="s">
        <v>186</v>
      </c>
      <c r="C109" s="281">
        <v>135288000</v>
      </c>
      <c r="D109" s="281">
        <v>25041000</v>
      </c>
      <c r="E109" s="281">
        <v>-50987000</v>
      </c>
      <c r="F109" s="281">
        <v>136374000</v>
      </c>
      <c r="G109" s="281">
        <v>-325997000</v>
      </c>
      <c r="H109" s="281">
        <v>-54302000</v>
      </c>
      <c r="I109" s="281">
        <v>167806000</v>
      </c>
    </row>
    <row r="110" spans="2:9" x14ac:dyDescent="0.2">
      <c r="B110" t="s">
        <v>187</v>
      </c>
      <c r="C110" s="281">
        <v>10770000</v>
      </c>
      <c r="D110" s="281">
        <v>-16157000</v>
      </c>
      <c r="E110" s="281">
        <v>-10493000</v>
      </c>
      <c r="F110" s="281">
        <v>-33173000</v>
      </c>
      <c r="G110" s="281">
        <v>-86627000</v>
      </c>
      <c r="H110" s="281">
        <v>-806000</v>
      </c>
      <c r="I110" s="281">
        <v>4157000</v>
      </c>
    </row>
    <row r="111" spans="2:9" x14ac:dyDescent="0.2">
      <c r="B111" t="s">
        <v>188</v>
      </c>
      <c r="C111" s="281">
        <v>-751000</v>
      </c>
      <c r="D111" s="281">
        <v>8827000</v>
      </c>
      <c r="E111" s="281">
        <v>-32777000</v>
      </c>
      <c r="F111" s="281">
        <v>33378000</v>
      </c>
      <c r="G111" s="281">
        <v>-228554000</v>
      </c>
      <c r="H111" s="281">
        <v>-26056000</v>
      </c>
      <c r="I111" s="281">
        <v>58541000</v>
      </c>
    </row>
    <row r="112" spans="2:9" x14ac:dyDescent="0.2">
      <c r="B112" t="s">
        <v>189</v>
      </c>
      <c r="C112" s="281">
        <v>-4462000</v>
      </c>
      <c r="D112" s="281">
        <v>26667000</v>
      </c>
      <c r="E112" s="281">
        <v>23312000</v>
      </c>
      <c r="F112" s="281">
        <v>79176000</v>
      </c>
      <c r="G112" s="281">
        <v>89184000</v>
      </c>
      <c r="H112" s="281">
        <v>-74247000</v>
      </c>
      <c r="I112" s="281">
        <v>119601000</v>
      </c>
    </row>
    <row r="113" spans="2:9" x14ac:dyDescent="0.2">
      <c r="B113" t="s">
        <v>190</v>
      </c>
      <c r="C113" s="281">
        <v>27289000</v>
      </c>
      <c r="D113" s="281">
        <v>4190000</v>
      </c>
      <c r="E113" s="281">
        <v>-13990000</v>
      </c>
      <c r="F113" s="281">
        <v>27659000</v>
      </c>
      <c r="G113" s="281">
        <v>-36427000</v>
      </c>
      <c r="H113" s="281">
        <v>18356000</v>
      </c>
      <c r="I113" s="281">
        <v>-3759000</v>
      </c>
    </row>
    <row r="114" spans="2:9" x14ac:dyDescent="0.2">
      <c r="B114" t="s">
        <v>191</v>
      </c>
      <c r="C114" s="281">
        <v>102442000</v>
      </c>
      <c r="D114" s="281">
        <v>1514000</v>
      </c>
      <c r="E114" s="281">
        <v>-17039000</v>
      </c>
      <c r="F114" s="281">
        <v>29334000</v>
      </c>
      <c r="G114" s="281">
        <v>-63573000</v>
      </c>
      <c r="H114" s="281">
        <v>28451000</v>
      </c>
      <c r="I114" s="281">
        <v>-10734000</v>
      </c>
    </row>
    <row r="115" spans="2:9" x14ac:dyDescent="0.2">
      <c r="B115" t="s">
        <v>192</v>
      </c>
      <c r="C115" s="281">
        <v>327355000</v>
      </c>
      <c r="D115" s="281">
        <v>359505000</v>
      </c>
      <c r="E115" s="281">
        <v>286334000</v>
      </c>
      <c r="F115" s="281">
        <v>596217000</v>
      </c>
      <c r="G115" s="281">
        <v>172353000</v>
      </c>
      <c r="H115" s="281">
        <v>537422000</v>
      </c>
      <c r="I115" s="281">
        <v>1033184000</v>
      </c>
    </row>
    <row r="116" spans="2:9" x14ac:dyDescent="0.2">
      <c r="B116" s="282" t="s">
        <v>193</v>
      </c>
      <c r="C116" s="283">
        <v>-34813000</v>
      </c>
      <c r="D116" s="283">
        <v>-29086000</v>
      </c>
      <c r="E116" s="283">
        <v>-32455000</v>
      </c>
      <c r="F116" s="283">
        <v>-32218000</v>
      </c>
      <c r="G116" s="283">
        <v>-51017000</v>
      </c>
      <c r="H116" s="283">
        <v>-81025000</v>
      </c>
      <c r="I116" s="283">
        <v>-89365000</v>
      </c>
    </row>
    <row r="117" spans="2:9" x14ac:dyDescent="0.2">
      <c r="B117" t="s">
        <v>194</v>
      </c>
      <c r="C117" s="281">
        <v>116000</v>
      </c>
      <c r="D117" s="281">
        <v>68000</v>
      </c>
      <c r="E117" s="281">
        <v>491000</v>
      </c>
      <c r="F117" s="281">
        <v>49000</v>
      </c>
      <c r="G117" s="281">
        <v>8000</v>
      </c>
      <c r="H117" s="281">
        <v>12000</v>
      </c>
      <c r="I117" s="281">
        <v>34000</v>
      </c>
    </row>
    <row r="118" spans="2:9" x14ac:dyDescent="0.2">
      <c r="B118" t="s">
        <v>195</v>
      </c>
      <c r="C118" s="281">
        <v>-34697000</v>
      </c>
      <c r="D118" s="281">
        <v>-29018000</v>
      </c>
      <c r="E118" s="281">
        <v>-31964000</v>
      </c>
      <c r="F118" s="281">
        <v>-32169000</v>
      </c>
      <c r="G118" s="281">
        <v>-51009000</v>
      </c>
      <c r="H118" s="281">
        <v>-81013000</v>
      </c>
      <c r="I118" s="281">
        <v>-89331000</v>
      </c>
    </row>
    <row r="119" spans="2:9" x14ac:dyDescent="0.2">
      <c r="B119" t="s">
        <v>196</v>
      </c>
      <c r="C119" s="281">
        <v>-688000</v>
      </c>
      <c r="D119" s="281">
        <v>-198000</v>
      </c>
      <c r="E119" s="281">
        <v>-464000</v>
      </c>
      <c r="F119" s="281">
        <v>-31279000</v>
      </c>
      <c r="G119" s="281">
        <v>0</v>
      </c>
      <c r="H119" s="281">
        <v>0</v>
      </c>
      <c r="I119" s="281">
        <v>0</v>
      </c>
    </row>
    <row r="120" spans="2:9" x14ac:dyDescent="0.2">
      <c r="B120" t="s">
        <v>197</v>
      </c>
      <c r="C120" s="281">
        <v>214751000</v>
      </c>
      <c r="D120" s="281">
        <v>162001000</v>
      </c>
      <c r="E120" s="281">
        <v>69336000</v>
      </c>
      <c r="F120" s="281">
        <v>9100000</v>
      </c>
      <c r="G120" s="281"/>
      <c r="H120" s="281"/>
      <c r="I120" s="281"/>
    </row>
    <row r="121" spans="2:9" x14ac:dyDescent="0.2">
      <c r="B121" t="s">
        <v>198</v>
      </c>
      <c r="C121" s="281">
        <v>-215439000</v>
      </c>
      <c r="D121" s="281">
        <v>-162199000</v>
      </c>
      <c r="E121" s="281">
        <v>-69800000</v>
      </c>
      <c r="F121" s="281">
        <v>-40379000</v>
      </c>
      <c r="G121" s="281"/>
      <c r="H121" s="281"/>
      <c r="I121" s="281"/>
    </row>
    <row r="122" spans="2:9" x14ac:dyDescent="0.2">
      <c r="B122" t="s">
        <v>199</v>
      </c>
      <c r="C122" s="281">
        <v>-157027000</v>
      </c>
      <c r="D122" s="281">
        <v>-165698000</v>
      </c>
      <c r="E122" s="281">
        <v>-191650000</v>
      </c>
      <c r="F122" s="281">
        <v>-98302000</v>
      </c>
      <c r="G122" s="281">
        <v>-367482000</v>
      </c>
      <c r="H122" s="281">
        <v>-307494000</v>
      </c>
      <c r="I122" s="281">
        <v>-417675000</v>
      </c>
    </row>
    <row r="123" spans="2:9" x14ac:dyDescent="0.2">
      <c r="B123" t="s">
        <v>200</v>
      </c>
      <c r="C123" s="281">
        <v>765000</v>
      </c>
      <c r="D123" s="281">
        <v>1025000</v>
      </c>
      <c r="E123" s="281">
        <v>4903000</v>
      </c>
      <c r="F123" s="281">
        <v>8277000</v>
      </c>
      <c r="G123" s="281">
        <v>3195000</v>
      </c>
      <c r="H123" s="281">
        <v>6566000</v>
      </c>
      <c r="I123" s="281">
        <v>7230000</v>
      </c>
    </row>
    <row r="124" spans="2:9" s="282" customFormat="1" x14ac:dyDescent="0.2">
      <c r="B124" s="282" t="s">
        <v>201</v>
      </c>
      <c r="C124" s="283">
        <v>-157792000</v>
      </c>
      <c r="D124" s="283">
        <v>-166723000</v>
      </c>
      <c r="E124" s="283">
        <v>-196553000</v>
      </c>
      <c r="F124" s="283">
        <v>-106579000</v>
      </c>
      <c r="G124" s="283">
        <v>-370677000</v>
      </c>
      <c r="H124" s="283">
        <v>-314060000</v>
      </c>
      <c r="I124" s="283">
        <v>-424905000</v>
      </c>
    </row>
    <row r="125" spans="2:9" x14ac:dyDescent="0.2">
      <c r="B125" t="s">
        <v>202</v>
      </c>
      <c r="C125" s="281">
        <v>0</v>
      </c>
      <c r="D125" s="281">
        <v>0</v>
      </c>
      <c r="E125" s="281">
        <v>0</v>
      </c>
      <c r="F125" s="281">
        <v>0</v>
      </c>
      <c r="G125" s="281">
        <v>0</v>
      </c>
      <c r="H125" s="281">
        <v>0</v>
      </c>
      <c r="I125" s="281">
        <v>0</v>
      </c>
    </row>
    <row r="126" spans="2:9" x14ac:dyDescent="0.2">
      <c r="B126" t="s">
        <v>203</v>
      </c>
      <c r="C126" s="281"/>
      <c r="D126" s="281">
        <v>-1297000</v>
      </c>
      <c r="E126" s="281"/>
      <c r="F126" s="281"/>
      <c r="G126" s="281"/>
      <c r="H126" s="281">
        <v>-1537000</v>
      </c>
      <c r="I126" s="281"/>
    </row>
    <row r="127" spans="2:9" x14ac:dyDescent="0.2">
      <c r="B127" t="s">
        <v>204</v>
      </c>
      <c r="C127" s="281">
        <v>-157715000</v>
      </c>
      <c r="D127" s="281">
        <v>-167193000</v>
      </c>
      <c r="E127" s="281">
        <v>-192114000</v>
      </c>
      <c r="F127" s="281">
        <v>-129581000</v>
      </c>
      <c r="G127" s="281">
        <v>-367482000</v>
      </c>
      <c r="H127" s="281">
        <v>-309031000</v>
      </c>
      <c r="I127" s="281">
        <v>-417675000</v>
      </c>
    </row>
    <row r="128" spans="2:9" x14ac:dyDescent="0.2">
      <c r="B128" t="s">
        <v>205</v>
      </c>
      <c r="C128" s="281">
        <v>3263000</v>
      </c>
      <c r="D128" s="281">
        <v>-3572000</v>
      </c>
      <c r="E128" s="281">
        <v>-2512000</v>
      </c>
      <c r="F128" s="281">
        <v>5458000</v>
      </c>
      <c r="G128" s="281">
        <v>304000</v>
      </c>
      <c r="H128" s="281">
        <v>-9110000</v>
      </c>
      <c r="I128" s="281">
        <v>-5922000</v>
      </c>
    </row>
    <row r="129" spans="2:9" x14ac:dyDescent="0.2">
      <c r="B129" t="s">
        <v>206</v>
      </c>
      <c r="C129" s="281">
        <v>138206000</v>
      </c>
      <c r="D129" s="281">
        <v>159722000</v>
      </c>
      <c r="E129" s="281">
        <v>59744000</v>
      </c>
      <c r="F129" s="281">
        <v>439925000</v>
      </c>
      <c r="G129" s="281">
        <v>-245834000</v>
      </c>
      <c r="H129" s="281">
        <v>138268000</v>
      </c>
      <c r="I129" s="281">
        <v>520256000</v>
      </c>
    </row>
    <row r="130" spans="2:9" x14ac:dyDescent="0.2">
      <c r="B130" t="s">
        <v>207</v>
      </c>
      <c r="C130" s="281">
        <v>429970000</v>
      </c>
      <c r="D130" s="281">
        <v>589692000</v>
      </c>
      <c r="E130" s="281">
        <v>649436000</v>
      </c>
      <c r="F130" s="281">
        <v>1089361000</v>
      </c>
      <c r="G130" s="281">
        <v>843527000</v>
      </c>
      <c r="H130" s="281">
        <v>981795000</v>
      </c>
      <c r="I130" s="281">
        <v>1502051000</v>
      </c>
    </row>
    <row r="131" spans="2:9" x14ac:dyDescent="0.2">
      <c r="B131" t="s">
        <v>208</v>
      </c>
      <c r="C131" s="281">
        <v>-78424000</v>
      </c>
      <c r="D131" s="281">
        <v>-36340000</v>
      </c>
      <c r="E131" s="281">
        <v>37666000</v>
      </c>
      <c r="F131" s="281">
        <v>-153620000</v>
      </c>
      <c r="G131" s="281">
        <v>277177000</v>
      </c>
      <c r="H131" s="281">
        <v>64828000</v>
      </c>
      <c r="I131" s="281">
        <v>-206823000</v>
      </c>
    </row>
    <row r="132" spans="2:9" x14ac:dyDescent="0.2">
      <c r="B132" t="s">
        <v>209</v>
      </c>
      <c r="C132" s="281">
        <v>245290875</v>
      </c>
      <c r="D132" s="281">
        <v>267872750</v>
      </c>
      <c r="E132" s="281">
        <v>192096750</v>
      </c>
      <c r="F132" s="281">
        <v>507567500</v>
      </c>
      <c r="G132" s="281">
        <v>96683250</v>
      </c>
      <c r="H132" s="281">
        <v>338629750</v>
      </c>
      <c r="I132" s="281">
        <v>798238625</v>
      </c>
    </row>
    <row r="133" spans="2:9" x14ac:dyDescent="0.2">
      <c r="B133" t="s">
        <v>210</v>
      </c>
      <c r="C133" s="281">
        <v>248156500</v>
      </c>
      <c r="D133" s="281">
        <v>270785875</v>
      </c>
      <c r="E133" s="281">
        <v>195250500</v>
      </c>
      <c r="F133" s="281">
        <v>511335000</v>
      </c>
      <c r="G133" s="281">
        <v>97985125</v>
      </c>
      <c r="H133" s="281">
        <v>340781000</v>
      </c>
      <c r="I133" s="281">
        <v>799841125</v>
      </c>
    </row>
    <row r="134" spans="2:9" x14ac:dyDescent="0.2">
      <c r="B134" s="282" t="s">
        <v>211</v>
      </c>
      <c r="C134" s="283">
        <v>292542000</v>
      </c>
      <c r="D134" s="283">
        <v>330419000</v>
      </c>
      <c r="E134" s="283">
        <v>253879000</v>
      </c>
      <c r="F134" s="283">
        <v>563999000</v>
      </c>
      <c r="G134" s="283">
        <v>121336000</v>
      </c>
      <c r="H134" s="283">
        <v>456397000</v>
      </c>
      <c r="I134" s="283">
        <v>943819000</v>
      </c>
    </row>
    <row r="135" spans="2:9" x14ac:dyDescent="0.2">
      <c r="B135" t="s">
        <v>212</v>
      </c>
      <c r="C135" s="281">
        <v>327355000</v>
      </c>
      <c r="D135" s="281">
        <v>359505000</v>
      </c>
      <c r="E135" s="281">
        <v>286334000</v>
      </c>
      <c r="F135" s="281">
        <v>596217000</v>
      </c>
      <c r="G135" s="281">
        <v>172353000</v>
      </c>
      <c r="H135" s="281">
        <v>537422000</v>
      </c>
      <c r="I135" s="281">
        <v>1033184000</v>
      </c>
    </row>
    <row r="137" spans="2:9" x14ac:dyDescent="0.2">
      <c r="C137" s="290">
        <f>(C124/C134)</f>
        <v>-0.53938237928229105</v>
      </c>
      <c r="D137" s="290">
        <f t="shared" ref="D137:I137" si="0">(D124/D134)</f>
        <v>-0.50458054772879279</v>
      </c>
      <c r="E137" s="290">
        <f t="shared" si="0"/>
        <v>-0.77419952024389571</v>
      </c>
      <c r="F137" s="290">
        <f t="shared" si="0"/>
        <v>-0.18897019320956243</v>
      </c>
      <c r="G137" s="290"/>
      <c r="H137" s="290">
        <f t="shared" si="0"/>
        <v>-0.68812897543147744</v>
      </c>
      <c r="I137" s="290">
        <f t="shared" si="0"/>
        <v>-0.45019754847062837</v>
      </c>
    </row>
    <row r="138" spans="2:9" x14ac:dyDescent="0.2">
      <c r="B138" s="276" t="s">
        <v>213</v>
      </c>
      <c r="C138" s="276"/>
      <c r="D138" s="276"/>
      <c r="E138" s="276"/>
      <c r="F138" s="276"/>
      <c r="G138" s="276"/>
      <c r="H138" s="276"/>
      <c r="I138" s="276"/>
    </row>
    <row r="139" spans="2:9" x14ac:dyDescent="0.2">
      <c r="B139" t="s">
        <v>86</v>
      </c>
      <c r="C139" s="278" t="s">
        <v>87</v>
      </c>
      <c r="D139" s="278" t="s">
        <v>88</v>
      </c>
      <c r="E139" s="278" t="s">
        <v>89</v>
      </c>
      <c r="F139" s="278" t="s">
        <v>90</v>
      </c>
      <c r="G139" s="278" t="s">
        <v>91</v>
      </c>
      <c r="H139" s="278" t="s">
        <v>92</v>
      </c>
      <c r="I139" s="278" t="s">
        <v>93</v>
      </c>
    </row>
    <row r="140" spans="2:9" x14ac:dyDescent="0.2">
      <c r="B140" t="s">
        <v>94</v>
      </c>
      <c r="C140" s="279">
        <v>43190</v>
      </c>
      <c r="D140" s="279">
        <v>43555</v>
      </c>
      <c r="E140" s="279">
        <v>43921</v>
      </c>
      <c r="F140" s="279">
        <v>44286</v>
      </c>
      <c r="G140" s="279">
        <v>44651</v>
      </c>
      <c r="H140" s="279">
        <v>45016</v>
      </c>
      <c r="I140" s="279">
        <v>45382</v>
      </c>
    </row>
    <row r="141" spans="2:9" x14ac:dyDescent="0.2">
      <c r="B141" t="s">
        <v>95</v>
      </c>
      <c r="C141" s="280" t="s">
        <v>96</v>
      </c>
      <c r="D141" s="280" t="s">
        <v>96</v>
      </c>
      <c r="E141" s="280" t="s">
        <v>96</v>
      </c>
      <c r="F141" s="280" t="s">
        <v>96</v>
      </c>
      <c r="G141" s="280" t="s">
        <v>96</v>
      </c>
      <c r="H141" s="280" t="s">
        <v>96</v>
      </c>
      <c r="I141" s="280" t="s">
        <v>96</v>
      </c>
    </row>
    <row r="142" spans="2:9" x14ac:dyDescent="0.2">
      <c r="B142" t="s">
        <v>214</v>
      </c>
      <c r="C142">
        <v>190548000</v>
      </c>
      <c r="D142">
        <v>177846000</v>
      </c>
      <c r="E142">
        <v>170310000</v>
      </c>
      <c r="F142">
        <v>168330000</v>
      </c>
      <c r="G142">
        <v>165048000</v>
      </c>
      <c r="H142">
        <v>159024000</v>
      </c>
      <c r="I142">
        <v>155226000</v>
      </c>
    </row>
    <row r="143" spans="2:9" x14ac:dyDescent="0.2">
      <c r="B143" s="282" t="s">
        <v>215</v>
      </c>
      <c r="C143" s="282">
        <v>191976000</v>
      </c>
      <c r="D143" s="282">
        <v>179418000</v>
      </c>
      <c r="E143" s="282">
        <v>172164000</v>
      </c>
      <c r="F143" s="282">
        <v>170436000</v>
      </c>
      <c r="G143" s="282">
        <v>166734000</v>
      </c>
      <c r="H143" s="282">
        <v>160116000</v>
      </c>
      <c r="I143" s="282">
        <v>156288000</v>
      </c>
    </row>
    <row r="144" spans="2:9" x14ac:dyDescent="0.2">
      <c r="B144" t="s">
        <v>216</v>
      </c>
      <c r="C144">
        <v>0.60034200000000004</v>
      </c>
      <c r="D144">
        <v>1.486162</v>
      </c>
      <c r="E144">
        <v>1.621408</v>
      </c>
      <c r="F144">
        <v>2.272767</v>
      </c>
      <c r="G144">
        <v>2.7382879999999998</v>
      </c>
      <c r="H144">
        <v>3.249962</v>
      </c>
      <c r="I144">
        <v>4.8932710000000004</v>
      </c>
    </row>
    <row r="145" spans="2:9" x14ac:dyDescent="0.2">
      <c r="B145" t="s">
        <v>217</v>
      </c>
      <c r="C145">
        <v>0.59669899999999998</v>
      </c>
      <c r="D145">
        <v>1.4732989999999999</v>
      </c>
      <c r="E145">
        <v>1.603299</v>
      </c>
      <c r="F145">
        <v>2.2450000000000001</v>
      </c>
      <c r="G145">
        <v>2.71</v>
      </c>
      <c r="H145">
        <v>3.2282999999999999</v>
      </c>
      <c r="I145">
        <v>4.8600000000000003</v>
      </c>
    </row>
    <row r="146" spans="2:9" x14ac:dyDescent="0.2">
      <c r="B146" t="s">
        <v>218</v>
      </c>
      <c r="C146">
        <v>1.5238467308413499</v>
      </c>
      <c r="D146">
        <v>1.8416156684390601</v>
      </c>
      <c r="E146">
        <v>1.4746346506818999</v>
      </c>
      <c r="F146">
        <v>3.3091541693069502</v>
      </c>
      <c r="G146">
        <v>0.72772200031187395</v>
      </c>
      <c r="H146">
        <v>2.85041469934297</v>
      </c>
      <c r="I146">
        <v>6.0389729217854198</v>
      </c>
    </row>
    <row r="147" spans="2:9" x14ac:dyDescent="0.2">
      <c r="B147" t="s">
        <v>219</v>
      </c>
      <c r="C147">
        <v>1.70518710672167</v>
      </c>
      <c r="D147">
        <v>2.0037287228706102</v>
      </c>
      <c r="E147">
        <v>1.66314676703608</v>
      </c>
      <c r="F147">
        <v>3.4981870027458899</v>
      </c>
      <c r="G147">
        <v>1.03370038504444</v>
      </c>
      <c r="H147">
        <v>3.3564540707986699</v>
      </c>
      <c r="I147">
        <v>6.6107698607698602</v>
      </c>
    </row>
    <row r="148" spans="2:9" x14ac:dyDescent="0.2">
      <c r="B148" t="s">
        <v>220</v>
      </c>
      <c r="C148">
        <v>0</v>
      </c>
      <c r="D148">
        <v>0</v>
      </c>
      <c r="E148">
        <v>0</v>
      </c>
      <c r="F148">
        <v>0</v>
      </c>
      <c r="G148">
        <v>0</v>
      </c>
      <c r="H148">
        <v>0</v>
      </c>
      <c r="I148">
        <v>0</v>
      </c>
    </row>
  </sheetData>
  <mergeCells count="4">
    <mergeCell ref="B1:I1"/>
    <mergeCell ref="B35:I35"/>
    <mergeCell ref="B92:I92"/>
    <mergeCell ref="B138:I1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46"/>
  <sheetViews>
    <sheetView topLeftCell="B3" zoomScale="92" zoomScaleNormal="80" workbookViewId="0">
      <selection activeCell="J27" sqref="J27"/>
    </sheetView>
  </sheetViews>
  <sheetFormatPr baseColWidth="10" defaultColWidth="11.5" defaultRowHeight="16" outlineLevelRow="1" x14ac:dyDescent="0.2"/>
  <cols>
    <col min="1" max="1" width="3.33203125" style="4" customWidth="1"/>
    <col min="2" max="2" width="42.33203125" style="27" customWidth="1"/>
    <col min="3" max="3" width="15.33203125" style="65" customWidth="1"/>
    <col min="4" max="4" width="16.6640625" style="65" customWidth="1"/>
    <col min="5" max="5" width="16" style="65" customWidth="1"/>
    <col min="6" max="6" width="16.1640625" style="65" customWidth="1"/>
    <col min="7" max="7" width="14" style="65" customWidth="1"/>
    <col min="8" max="8" width="15.1640625" style="65" customWidth="1"/>
    <col min="9" max="9" width="13.6640625" style="65" customWidth="1"/>
    <col min="10" max="10" width="16.83203125" style="65" customWidth="1"/>
    <col min="11" max="11" width="15.5" style="65" customWidth="1"/>
    <col min="12" max="12" width="15" style="65" customWidth="1"/>
    <col min="13" max="13" width="16.1640625" style="65" customWidth="1"/>
    <col min="14" max="14" width="16.6640625" style="65" customWidth="1"/>
    <col min="15" max="15" width="14.5" style="4" customWidth="1"/>
    <col min="16" max="16384" width="11.5" style="4"/>
  </cols>
  <sheetData>
    <row r="1" spans="2:19" ht="17" thickBot="1" x14ac:dyDescent="0.25"/>
    <row r="2" spans="2:19" ht="30" customHeight="1" x14ac:dyDescent="0.2">
      <c r="B2" s="232"/>
      <c r="C2" s="235"/>
      <c r="D2" s="236"/>
      <c r="E2" s="236"/>
      <c r="F2" s="236"/>
      <c r="G2" s="236"/>
      <c r="H2" s="236"/>
      <c r="I2" s="236"/>
      <c r="J2" s="236"/>
      <c r="K2" s="236"/>
      <c r="L2" s="236"/>
      <c r="M2" s="236"/>
      <c r="N2" s="237"/>
      <c r="O2" s="21"/>
      <c r="P2" s="21"/>
      <c r="Q2" s="12"/>
      <c r="R2" s="12"/>
    </row>
    <row r="3" spans="2:19" ht="16" customHeight="1" x14ac:dyDescent="0.2">
      <c r="B3" s="233"/>
      <c r="C3" s="238"/>
      <c r="D3" s="239"/>
      <c r="E3" s="239"/>
      <c r="F3" s="239"/>
      <c r="G3" s="239"/>
      <c r="H3" s="239"/>
      <c r="I3" s="239"/>
      <c r="J3" s="239"/>
      <c r="K3" s="239"/>
      <c r="L3" s="239"/>
      <c r="M3" s="239"/>
      <c r="N3" s="240"/>
      <c r="O3" s="21"/>
      <c r="P3" s="21"/>
      <c r="Q3" s="12"/>
      <c r="R3" s="12"/>
    </row>
    <row r="4" spans="2:19" ht="16" customHeight="1" x14ac:dyDescent="0.2">
      <c r="B4" s="233"/>
      <c r="C4" s="238"/>
      <c r="D4" s="239"/>
      <c r="E4" s="239"/>
      <c r="F4" s="239"/>
      <c r="G4" s="239"/>
      <c r="H4" s="239"/>
      <c r="I4" s="239"/>
      <c r="J4" s="239"/>
      <c r="K4" s="239"/>
      <c r="L4" s="239"/>
      <c r="M4" s="239"/>
      <c r="N4" s="240"/>
      <c r="O4" s="21"/>
      <c r="P4" s="21"/>
      <c r="Q4" s="12"/>
      <c r="R4" s="12"/>
    </row>
    <row r="5" spans="2:19" ht="16" customHeight="1" x14ac:dyDescent="0.2">
      <c r="B5" s="233"/>
      <c r="C5" s="238"/>
      <c r="D5" s="239"/>
      <c r="E5" s="239"/>
      <c r="F5" s="239"/>
      <c r="G5" s="239"/>
      <c r="H5" s="239"/>
      <c r="I5" s="239"/>
      <c r="J5" s="239"/>
      <c r="K5" s="239"/>
      <c r="L5" s="239"/>
      <c r="M5" s="239"/>
      <c r="N5" s="240"/>
      <c r="O5" s="21"/>
      <c r="P5" s="21"/>
      <c r="Q5" s="12"/>
      <c r="R5" s="12"/>
    </row>
    <row r="6" spans="2:19" ht="16" customHeight="1" x14ac:dyDescent="0.2">
      <c r="B6" s="233"/>
      <c r="C6" s="238"/>
      <c r="D6" s="239"/>
      <c r="E6" s="239"/>
      <c r="F6" s="239"/>
      <c r="G6" s="239"/>
      <c r="H6" s="239"/>
      <c r="I6" s="239"/>
      <c r="J6" s="239"/>
      <c r="K6" s="239"/>
      <c r="L6" s="239"/>
      <c r="M6" s="239"/>
      <c r="N6" s="240"/>
      <c r="O6" s="21"/>
      <c r="P6" s="21"/>
      <c r="Q6" s="12"/>
    </row>
    <row r="7" spans="2:19" ht="16" customHeight="1" thickBot="1" x14ac:dyDescent="0.25">
      <c r="B7" s="233"/>
      <c r="C7" s="241"/>
      <c r="D7" s="242"/>
      <c r="E7" s="242"/>
      <c r="F7" s="242"/>
      <c r="G7" s="242"/>
      <c r="H7" s="242"/>
      <c r="I7" s="242"/>
      <c r="J7" s="242"/>
      <c r="K7" s="242"/>
      <c r="L7" s="242"/>
      <c r="M7" s="242"/>
      <c r="N7" s="243"/>
      <c r="O7" s="21"/>
      <c r="P7" s="21"/>
      <c r="Q7" s="12"/>
    </row>
    <row r="8" spans="2:19" ht="16" customHeight="1" thickBot="1" x14ac:dyDescent="0.25">
      <c r="B8" s="234"/>
      <c r="C8" s="28">
        <v>2018</v>
      </c>
      <c r="D8" s="29">
        <v>2019</v>
      </c>
      <c r="E8" s="28">
        <v>2020</v>
      </c>
      <c r="F8" s="29">
        <v>2021</v>
      </c>
      <c r="G8" s="28">
        <v>2022</v>
      </c>
      <c r="H8" s="29">
        <v>2023</v>
      </c>
      <c r="I8" s="28">
        <v>2024</v>
      </c>
      <c r="J8" s="206">
        <v>2025</v>
      </c>
      <c r="K8" s="87">
        <v>2026</v>
      </c>
      <c r="L8" s="206">
        <v>2027</v>
      </c>
      <c r="M8" s="87">
        <v>2028</v>
      </c>
      <c r="N8" s="206">
        <v>2029</v>
      </c>
      <c r="O8" s="12"/>
      <c r="P8" s="12"/>
      <c r="Q8" s="12"/>
    </row>
    <row r="9" spans="2:19" ht="16" customHeight="1" x14ac:dyDescent="0.2">
      <c r="B9" s="61" t="s">
        <v>34</v>
      </c>
      <c r="C9" s="215"/>
      <c r="D9" s="66"/>
      <c r="E9" s="66"/>
      <c r="F9" s="66"/>
      <c r="G9" s="66"/>
      <c r="H9" s="66"/>
      <c r="I9" s="141"/>
      <c r="J9" s="66"/>
      <c r="K9" s="66"/>
      <c r="L9" s="66"/>
      <c r="M9" s="66"/>
      <c r="N9" s="66"/>
      <c r="O9" s="158"/>
      <c r="P9" s="12"/>
      <c r="Q9" s="12"/>
    </row>
    <row r="10" spans="2:19" ht="16" customHeight="1" thickBot="1" x14ac:dyDescent="0.25">
      <c r="B10" s="56" t="s">
        <v>15</v>
      </c>
      <c r="C10" s="177">
        <f>'Datos Tweenvest'!C5</f>
        <v>1903339000</v>
      </c>
      <c r="D10" s="177">
        <f>'Datos Tweenvest'!D5</f>
        <v>2020437000</v>
      </c>
      <c r="E10" s="177">
        <f>'Datos Tweenvest'!E5</f>
        <v>2132689000</v>
      </c>
      <c r="F10" s="177">
        <f>'Datos Tweenvest'!F5</f>
        <v>2545641000</v>
      </c>
      <c r="G10" s="177">
        <f>'Datos Tweenvest'!G5</f>
        <v>3150339000</v>
      </c>
      <c r="H10" s="177">
        <f>'Datos Tweenvest'!H5</f>
        <v>3627286000</v>
      </c>
      <c r="I10" s="177">
        <f>'Datos Tweenvest'!I5</f>
        <v>4287763000</v>
      </c>
      <c r="J10" s="67">
        <f t="shared" ref="J10:N10" si="0">(I10*$P$11)+I10</f>
        <v>4502151150</v>
      </c>
      <c r="K10" s="67">
        <f t="shared" si="0"/>
        <v>4727258707.5</v>
      </c>
      <c r="L10" s="67">
        <f t="shared" si="0"/>
        <v>4963621642.875</v>
      </c>
      <c r="M10" s="67">
        <f t="shared" si="0"/>
        <v>5211802725.0187502</v>
      </c>
      <c r="N10" s="68">
        <f t="shared" si="0"/>
        <v>5472392861.2696877</v>
      </c>
      <c r="O10" s="12"/>
      <c r="P10" s="12"/>
      <c r="Q10" s="12"/>
    </row>
    <row r="11" spans="2:19" ht="15.75" customHeight="1" thickBot="1" x14ac:dyDescent="0.25">
      <c r="B11" s="154" t="s">
        <v>33</v>
      </c>
      <c r="C11" s="70" t="e">
        <f t="shared" ref="C11:H11" si="1">(C10-B10)/B10</f>
        <v>#VALUE!</v>
      </c>
      <c r="D11" s="70">
        <f t="shared" si="1"/>
        <v>6.1522408777416951E-2</v>
      </c>
      <c r="E11" s="70">
        <f t="shared" si="1"/>
        <v>5.5558277738924799E-2</v>
      </c>
      <c r="F11" s="70">
        <f t="shared" si="1"/>
        <v>0.19362973223006261</v>
      </c>
      <c r="G11" s="70">
        <f t="shared" si="1"/>
        <v>0.23754252858121</v>
      </c>
      <c r="H11" s="70">
        <f t="shared" si="1"/>
        <v>0.15139545299728061</v>
      </c>
      <c r="I11" s="70">
        <f t="shared" ref="I11" si="2">(I10-H10)/H10</f>
        <v>0.18208572469885198</v>
      </c>
      <c r="J11" s="144">
        <f t="shared" ref="J11:N11" si="3">$P$11</f>
        <v>0.05</v>
      </c>
      <c r="K11" s="70">
        <f t="shared" si="3"/>
        <v>0.05</v>
      </c>
      <c r="L11" s="70">
        <f t="shared" si="3"/>
        <v>0.05</v>
      </c>
      <c r="M11" s="70">
        <f t="shared" si="3"/>
        <v>0.05</v>
      </c>
      <c r="N11" s="71">
        <f t="shared" si="3"/>
        <v>0.05</v>
      </c>
      <c r="O11" s="6" t="s">
        <v>31</v>
      </c>
      <c r="P11" s="9">
        <v>0.05</v>
      </c>
      <c r="Q11" s="12"/>
      <c r="S11"/>
    </row>
    <row r="12" spans="2:19" ht="16" customHeight="1" x14ac:dyDescent="0.2">
      <c r="B12" s="156" t="s">
        <v>6</v>
      </c>
      <c r="C12" s="83">
        <f t="shared" ref="C12:H12" si="4">C15+C14</f>
        <v>275240000</v>
      </c>
      <c r="D12" s="83">
        <f t="shared" si="4"/>
        <v>371048000</v>
      </c>
      <c r="E12" s="83">
        <f t="shared" si="4"/>
        <v>378084000</v>
      </c>
      <c r="F12" s="210">
        <f t="shared" si="4"/>
        <v>562074000</v>
      </c>
      <c r="G12" s="210">
        <f t="shared" si="4"/>
        <v>610771000</v>
      </c>
      <c r="H12" s="210">
        <f t="shared" si="4"/>
        <v>703426000</v>
      </c>
      <c r="I12" s="210">
        <f t="shared" ref="I12" si="5">I15+I14</f>
        <v>994280000</v>
      </c>
      <c r="J12" s="214">
        <f t="shared" ref="J12:N12" si="6">J15+J14</f>
        <v>690767511.00000012</v>
      </c>
      <c r="K12" s="74">
        <f t="shared" si="6"/>
        <v>725305886.55000007</v>
      </c>
      <c r="L12" s="74">
        <f t="shared" si="6"/>
        <v>761571180.87750006</v>
      </c>
      <c r="M12" s="74">
        <f t="shared" si="6"/>
        <v>799649739.92137516</v>
      </c>
      <c r="N12" s="213">
        <f t="shared" si="6"/>
        <v>839632226.91744375</v>
      </c>
      <c r="O12" s="12"/>
      <c r="P12" s="16"/>
      <c r="Q12" s="12"/>
    </row>
    <row r="13" spans="2:19" ht="16" customHeight="1" x14ac:dyDescent="0.2">
      <c r="B13" s="154" t="s">
        <v>16</v>
      </c>
      <c r="C13" s="70">
        <f>(C12/C10)</f>
        <v>0.14460902655806454</v>
      </c>
      <c r="D13" s="70">
        <f>(D12/D10)</f>
        <v>0.18364739905277919</v>
      </c>
      <c r="E13" s="70">
        <f>(E12/E10)</f>
        <v>0.17728041922661955</v>
      </c>
      <c r="F13" s="70">
        <f t="shared" ref="F13:H13" si="7">(F12/F10)</f>
        <v>0.22079861221594091</v>
      </c>
      <c r="G13" s="70">
        <f t="shared" si="7"/>
        <v>0.19387469094595852</v>
      </c>
      <c r="H13" s="70">
        <f t="shared" si="7"/>
        <v>0.19392625781369321</v>
      </c>
      <c r="I13" s="71">
        <f t="shared" ref="I13" si="8">(I12/I10)</f>
        <v>0.23188781656075674</v>
      </c>
      <c r="J13" s="144">
        <f>J12/J10</f>
        <v>0.15343054641779411</v>
      </c>
      <c r="K13" s="70">
        <f>K12/K10</f>
        <v>0.15343054641779411</v>
      </c>
      <c r="L13" s="70">
        <f>L12/L10</f>
        <v>0.15343054641779411</v>
      </c>
      <c r="M13" s="70">
        <f>M12/M10</f>
        <v>0.15343054641779411</v>
      </c>
      <c r="N13" s="71">
        <f>N12/N10</f>
        <v>0.15343054641779408</v>
      </c>
      <c r="O13" s="12"/>
      <c r="P13" s="12"/>
      <c r="Q13" s="12"/>
    </row>
    <row r="14" spans="2:19" ht="16" customHeight="1" thickBot="1" x14ac:dyDescent="0.25">
      <c r="B14" s="153" t="s">
        <v>0</v>
      </c>
      <c r="C14" s="176">
        <f>'Datos Tweenvest'!C98</f>
        <v>48572000</v>
      </c>
      <c r="D14" s="176">
        <f>'Datos Tweenvest'!D98</f>
        <v>44941000</v>
      </c>
      <c r="E14" s="176">
        <f>'Datos Tweenvest'!E98</f>
        <v>38912000</v>
      </c>
      <c r="F14" s="176">
        <f>'Datos Tweenvest'!F98</f>
        <v>40530000</v>
      </c>
      <c r="G14" s="176">
        <f>'Datos Tweenvest'!G98</f>
        <v>42878000</v>
      </c>
      <c r="H14" s="176">
        <f>'Datos Tweenvest'!H98</f>
        <v>47858000</v>
      </c>
      <c r="I14" s="176">
        <f>'Datos Tweenvest'!I98</f>
        <v>57587000</v>
      </c>
      <c r="J14" s="79">
        <f>(I14*$P$11)+I14</f>
        <v>60466350</v>
      </c>
      <c r="K14" s="172">
        <f t="shared" ref="K14:N14" si="9">(J14*$P$11)+J14</f>
        <v>63489667.5</v>
      </c>
      <c r="L14" s="79">
        <f t="shared" si="9"/>
        <v>66664150.875</v>
      </c>
      <c r="M14" s="157">
        <f t="shared" si="9"/>
        <v>69997358.418750003</v>
      </c>
      <c r="N14" s="79">
        <f t="shared" si="9"/>
        <v>73497226.339687496</v>
      </c>
      <c r="O14" s="158"/>
      <c r="P14" s="12"/>
      <c r="Q14" s="12"/>
    </row>
    <row r="15" spans="2:19" ht="16" customHeight="1" outlineLevel="1" thickBot="1" x14ac:dyDescent="0.25">
      <c r="B15" s="56" t="s">
        <v>7</v>
      </c>
      <c r="C15" s="229">
        <f>'Datos Tweenvest'!C12</f>
        <v>226668000</v>
      </c>
      <c r="D15" s="229">
        <f>'Datos Tweenvest'!D12</f>
        <v>326107000</v>
      </c>
      <c r="E15" s="229">
        <f>'Datos Tweenvest'!E12</f>
        <v>339172000</v>
      </c>
      <c r="F15" s="229">
        <f>'Datos Tweenvest'!F12</f>
        <v>521544000</v>
      </c>
      <c r="G15" s="229">
        <f>'Datos Tweenvest'!G12</f>
        <v>567893000</v>
      </c>
      <c r="H15" s="229">
        <f>'Datos Tweenvest'!H12</f>
        <v>655568000</v>
      </c>
      <c r="I15" s="229">
        <f>'Datos Tweenvest'!I12</f>
        <v>936693000</v>
      </c>
      <c r="J15" s="74">
        <f>J10*$P$16</f>
        <v>630301161.00000012</v>
      </c>
      <c r="K15" s="74">
        <f>K10*$P$16</f>
        <v>661816219.05000007</v>
      </c>
      <c r="L15" s="74">
        <f>L10*$P$16</f>
        <v>694907030.00250006</v>
      </c>
      <c r="M15" s="74">
        <f>M10*$P$16</f>
        <v>729652381.50262511</v>
      </c>
      <c r="N15" s="213">
        <f>N10*$P$16</f>
        <v>766135000.57775629</v>
      </c>
      <c r="O15" s="12"/>
      <c r="P15" s="12"/>
      <c r="Q15" s="12"/>
    </row>
    <row r="16" spans="2:19" ht="16" customHeight="1" outlineLevel="1" thickBot="1" x14ac:dyDescent="0.25">
      <c r="B16" s="154" t="s">
        <v>17</v>
      </c>
      <c r="C16" s="187">
        <f>(C15/C10)</f>
        <v>0.11908966295546931</v>
      </c>
      <c r="D16" s="187">
        <f>(D15/D10)</f>
        <v>0.16140419127149225</v>
      </c>
      <c r="E16" s="187">
        <f>(E15/E10)</f>
        <v>0.15903490851221158</v>
      </c>
      <c r="F16" s="196">
        <f t="shared" ref="F16:H16" si="10">(F15/F10)</f>
        <v>0.20487727845363898</v>
      </c>
      <c r="G16" s="70">
        <f t="shared" si="10"/>
        <v>0.18026409221356812</v>
      </c>
      <c r="H16" s="227">
        <f t="shared" si="10"/>
        <v>0.18073237125498237</v>
      </c>
      <c r="I16" s="216">
        <f t="shared" ref="I16" si="11">(I15/I10)</f>
        <v>0.21845727014296265</v>
      </c>
      <c r="J16" s="174">
        <f t="shared" ref="J16:N16" si="12">(J15/J10)</f>
        <v>0.14000000000000001</v>
      </c>
      <c r="K16" s="174">
        <f t="shared" si="12"/>
        <v>0.14000000000000001</v>
      </c>
      <c r="L16" s="174">
        <f t="shared" si="12"/>
        <v>0.14000000000000001</v>
      </c>
      <c r="M16" s="174">
        <f t="shared" si="12"/>
        <v>0.14000000000000001</v>
      </c>
      <c r="N16" s="175">
        <f t="shared" si="12"/>
        <v>0.14000000000000001</v>
      </c>
      <c r="O16" s="6" t="s">
        <v>30</v>
      </c>
      <c r="P16" s="15">
        <v>0.14000000000000001</v>
      </c>
      <c r="Q16" s="12"/>
    </row>
    <row r="17" spans="2:17" ht="16" customHeight="1" outlineLevel="1" x14ac:dyDescent="0.2">
      <c r="B17" s="244" t="s">
        <v>52</v>
      </c>
      <c r="C17" s="211">
        <f>-'Datos Tweenvest'!C14</f>
        <v>4585000</v>
      </c>
      <c r="D17" s="211">
        <f>-'Datos Tweenvest'!D14</f>
        <v>4661000</v>
      </c>
      <c r="E17" s="211">
        <f>-'Datos Tweenvest'!E14</f>
        <v>5046000</v>
      </c>
      <c r="F17" s="211">
        <f>-'Datos Tweenvest'!F14</f>
        <v>6028000</v>
      </c>
      <c r="G17" s="211">
        <f>-'Datos Tweenvest'!G14</f>
        <v>2083000</v>
      </c>
      <c r="H17" s="211">
        <f>-'Datos Tweenvest'!H14</f>
        <v>3442000</v>
      </c>
      <c r="I17" s="211">
        <f>-'Datos Tweenvest'!I14</f>
        <v>2564000</v>
      </c>
      <c r="J17" s="73">
        <f>(I17*$P$11)+I17</f>
        <v>2692200</v>
      </c>
      <c r="K17" s="73">
        <f t="shared" ref="K17:N17" si="13">(J17*$P$11)+J17</f>
        <v>2826810</v>
      </c>
      <c r="L17" s="73">
        <f t="shared" si="13"/>
        <v>2968150.5</v>
      </c>
      <c r="M17" s="73">
        <f t="shared" si="13"/>
        <v>3116558.0249999999</v>
      </c>
      <c r="N17" s="73">
        <f t="shared" si="13"/>
        <v>3272385.92625</v>
      </c>
      <c r="O17" s="158"/>
      <c r="P17" s="12"/>
      <c r="Q17" s="12"/>
    </row>
    <row r="18" spans="2:17" ht="16" customHeight="1" outlineLevel="1" thickBot="1" x14ac:dyDescent="0.25">
      <c r="B18" s="245"/>
      <c r="C18" s="188"/>
      <c r="D18" s="189"/>
      <c r="E18" s="189"/>
      <c r="F18" s="73"/>
      <c r="G18" s="189"/>
      <c r="H18" s="189"/>
      <c r="I18" s="142"/>
      <c r="J18" s="73"/>
      <c r="K18" s="73"/>
      <c r="L18" s="73"/>
      <c r="M18" s="73"/>
      <c r="N18" s="78"/>
      <c r="O18" s="12"/>
      <c r="P18" s="12"/>
      <c r="Q18" s="12"/>
    </row>
    <row r="19" spans="2:17" ht="16" customHeight="1" thickBot="1" x14ac:dyDescent="0.25">
      <c r="B19" s="152" t="s">
        <v>1</v>
      </c>
      <c r="C19" s="190">
        <f>C15-C17</f>
        <v>222083000</v>
      </c>
      <c r="D19" s="190">
        <f>D15-D17</f>
        <v>321446000</v>
      </c>
      <c r="E19" s="190">
        <f>E15-E17</f>
        <v>334126000</v>
      </c>
      <c r="F19" s="190">
        <f t="shared" ref="F19" si="14">F15-F17-F18</f>
        <v>515516000</v>
      </c>
      <c r="G19" s="190">
        <f t="shared" ref="G19:H19" si="15">G15-G17</f>
        <v>565810000</v>
      </c>
      <c r="H19" s="190">
        <f t="shared" si="15"/>
        <v>652126000</v>
      </c>
      <c r="I19" s="197">
        <f t="shared" ref="I19" si="16">I15-I17</f>
        <v>934129000</v>
      </c>
      <c r="J19" s="198">
        <f t="shared" ref="J19:N19" si="17">J15-J17-J18</f>
        <v>627608961.00000012</v>
      </c>
      <c r="K19" s="198">
        <f t="shared" si="17"/>
        <v>658989409.05000007</v>
      </c>
      <c r="L19" s="198">
        <f t="shared" si="17"/>
        <v>691938879.50250006</v>
      </c>
      <c r="M19" s="198">
        <f t="shared" si="17"/>
        <v>726535823.47762513</v>
      </c>
      <c r="N19" s="199">
        <f t="shared" si="17"/>
        <v>762862614.6515063</v>
      </c>
      <c r="O19" s="12"/>
      <c r="P19" s="12"/>
      <c r="Q19" s="12"/>
    </row>
    <row r="20" spans="2:17" ht="16" customHeight="1" collapsed="1" thickBot="1" x14ac:dyDescent="0.25">
      <c r="B20" s="153" t="s">
        <v>2</v>
      </c>
      <c r="C20" s="176">
        <f>-'Datos Tweenvest'!C22</f>
        <v>106302000</v>
      </c>
      <c r="D20" s="176">
        <f>-'Datos Tweenvest'!D22</f>
        <v>64626000</v>
      </c>
      <c r="E20" s="176">
        <f>-'Datos Tweenvest'!E22</f>
        <v>64724000</v>
      </c>
      <c r="F20" s="176">
        <f>-'Datos Tweenvest'!F22</f>
        <v>118939000</v>
      </c>
      <c r="G20" s="176">
        <f>-'Datos Tweenvest'!G22</f>
        <v>112689000</v>
      </c>
      <c r="H20" s="176">
        <f>-'Datos Tweenvest'!H22</f>
        <v>149260000</v>
      </c>
      <c r="I20" s="176">
        <f>-'Datos Tweenvest'!I22</f>
        <v>219378000</v>
      </c>
      <c r="J20" s="76">
        <f>J19*J21</f>
        <v>156902240.25000003</v>
      </c>
      <c r="K20" s="76">
        <f t="shared" ref="K20:N20" si="18">K19*K21</f>
        <v>164747352.26250002</v>
      </c>
      <c r="L20" s="76">
        <f t="shared" si="18"/>
        <v>172984719.87562501</v>
      </c>
      <c r="M20" s="76">
        <f t="shared" si="18"/>
        <v>181633955.86940628</v>
      </c>
      <c r="N20" s="77">
        <f t="shared" si="18"/>
        <v>190715653.66287658</v>
      </c>
      <c r="O20" s="12"/>
      <c r="P20" s="12"/>
      <c r="Q20" s="12"/>
    </row>
    <row r="21" spans="2:17" ht="16" customHeight="1" thickBot="1" x14ac:dyDescent="0.25">
      <c r="B21" s="154" t="s">
        <v>10</v>
      </c>
      <c r="C21" s="191">
        <f t="shared" ref="C21:H21" si="19">(C20/C19)</f>
        <v>0.47865887978818727</v>
      </c>
      <c r="D21" s="191">
        <f t="shared" si="19"/>
        <v>0.20104776541005331</v>
      </c>
      <c r="E21" s="191">
        <f t="shared" si="19"/>
        <v>0.19371135439923862</v>
      </c>
      <c r="F21" s="191">
        <f t="shared" si="19"/>
        <v>0.23071834821809603</v>
      </c>
      <c r="G21" s="204">
        <f t="shared" si="19"/>
        <v>0.19916403032820204</v>
      </c>
      <c r="H21" s="204">
        <f t="shared" si="19"/>
        <v>0.22888214854184621</v>
      </c>
      <c r="I21" s="143">
        <f t="shared" ref="I21" si="20">(I20/I19)</f>
        <v>0.23484764952163995</v>
      </c>
      <c r="J21" s="69">
        <f>$P$21</f>
        <v>0.25</v>
      </c>
      <c r="K21" s="69">
        <f t="shared" ref="K21:N21" si="21">$P$21</f>
        <v>0.25</v>
      </c>
      <c r="L21" s="69">
        <f t="shared" si="21"/>
        <v>0.25</v>
      </c>
      <c r="M21" s="69">
        <f t="shared" si="21"/>
        <v>0.25</v>
      </c>
      <c r="N21" s="75">
        <f t="shared" si="21"/>
        <v>0.25</v>
      </c>
      <c r="O21" s="6" t="s">
        <v>32</v>
      </c>
      <c r="P21" s="9">
        <v>0.25</v>
      </c>
      <c r="Q21" s="12"/>
    </row>
    <row r="22" spans="2:17" ht="16" customHeight="1" thickBot="1" x14ac:dyDescent="0.25">
      <c r="B22" s="155" t="s">
        <v>3</v>
      </c>
      <c r="C22" s="192">
        <f t="shared" ref="C22:H22" si="22">C19-C20</f>
        <v>115781000</v>
      </c>
      <c r="D22" s="192">
        <f t="shared" si="22"/>
        <v>256820000</v>
      </c>
      <c r="E22" s="193">
        <f t="shared" si="22"/>
        <v>269402000</v>
      </c>
      <c r="F22" s="192">
        <f t="shared" si="22"/>
        <v>396577000</v>
      </c>
      <c r="G22" s="205">
        <f t="shared" si="22"/>
        <v>453121000</v>
      </c>
      <c r="H22" s="205">
        <f t="shared" si="22"/>
        <v>502866000</v>
      </c>
      <c r="I22" s="145">
        <f t="shared" ref="I22" si="23">I19-I20</f>
        <v>714751000</v>
      </c>
      <c r="J22" s="79">
        <f t="shared" ref="J22:N22" si="24">J19-J20</f>
        <v>470706720.75000012</v>
      </c>
      <c r="K22" s="79">
        <f t="shared" si="24"/>
        <v>494242056.78750002</v>
      </c>
      <c r="L22" s="79">
        <f t="shared" si="24"/>
        <v>518954159.62687504</v>
      </c>
      <c r="M22" s="79">
        <f t="shared" si="24"/>
        <v>544901867.60821891</v>
      </c>
      <c r="N22" s="80">
        <f t="shared" si="24"/>
        <v>572146960.9886297</v>
      </c>
      <c r="O22" s="12"/>
      <c r="P22" s="12"/>
      <c r="Q22" s="12"/>
    </row>
    <row r="23" spans="2:17" ht="16" customHeight="1" thickBot="1" x14ac:dyDescent="0.25">
      <c r="B23" s="153" t="s">
        <v>4</v>
      </c>
      <c r="C23" s="226">
        <v>0</v>
      </c>
      <c r="D23" s="226">
        <v>0</v>
      </c>
      <c r="E23" s="226">
        <v>0</v>
      </c>
      <c r="F23" s="226">
        <v>0</v>
      </c>
      <c r="G23" s="226">
        <v>0</v>
      </c>
      <c r="H23" s="226">
        <v>0</v>
      </c>
      <c r="I23" s="226">
        <v>0</v>
      </c>
      <c r="J23" s="203">
        <f>I23*(1+$P$11)</f>
        <v>0</v>
      </c>
      <c r="K23" s="116">
        <f t="shared" ref="K23:N23" si="25">J23*(1+$P$11)</f>
        <v>0</v>
      </c>
      <c r="L23" s="116">
        <f t="shared" si="25"/>
        <v>0</v>
      </c>
      <c r="M23" s="116">
        <f t="shared" si="25"/>
        <v>0</v>
      </c>
      <c r="N23" s="117">
        <f t="shared" si="25"/>
        <v>0</v>
      </c>
      <c r="O23" s="12"/>
      <c r="P23" s="12"/>
      <c r="Q23" s="12"/>
    </row>
    <row r="24" spans="2:17" ht="16" customHeight="1" x14ac:dyDescent="0.2">
      <c r="B24" s="156" t="s">
        <v>5</v>
      </c>
      <c r="C24" s="194">
        <f t="shared" ref="C24:H24" si="26">C22-C23</f>
        <v>115781000</v>
      </c>
      <c r="D24" s="194">
        <f t="shared" si="26"/>
        <v>256820000</v>
      </c>
      <c r="E24" s="194">
        <f t="shared" si="26"/>
        <v>269402000</v>
      </c>
      <c r="F24" s="194">
        <f t="shared" si="26"/>
        <v>396577000</v>
      </c>
      <c r="G24" s="222">
        <f t="shared" si="26"/>
        <v>453121000</v>
      </c>
      <c r="H24" s="222">
        <f t="shared" si="26"/>
        <v>502866000</v>
      </c>
      <c r="I24" s="217">
        <f t="shared" ref="I24" si="27">I22-I23</f>
        <v>714751000</v>
      </c>
      <c r="J24" s="81">
        <f t="shared" ref="J24:N24" si="28">J22-J23</f>
        <v>470706720.75000012</v>
      </c>
      <c r="K24" s="81">
        <f t="shared" si="28"/>
        <v>494242056.78750002</v>
      </c>
      <c r="L24" s="81">
        <f t="shared" si="28"/>
        <v>518954159.62687504</v>
      </c>
      <c r="M24" s="81">
        <f t="shared" si="28"/>
        <v>544901867.60821891</v>
      </c>
      <c r="N24" s="82">
        <f t="shared" si="28"/>
        <v>572146960.9886297</v>
      </c>
      <c r="O24" s="12"/>
      <c r="P24" s="12"/>
      <c r="Q24" s="12"/>
    </row>
    <row r="25" spans="2:17" ht="16" customHeight="1" x14ac:dyDescent="0.2">
      <c r="B25" s="154" t="s">
        <v>35</v>
      </c>
      <c r="C25" s="195">
        <f t="shared" ref="C25:H25" si="29">C24/C10</f>
        <v>6.0830466879520671E-2</v>
      </c>
      <c r="D25" s="195">
        <f t="shared" si="29"/>
        <v>0.12711111507065057</v>
      </c>
      <c r="E25" s="195">
        <f t="shared" si="29"/>
        <v>0.1263203401902481</v>
      </c>
      <c r="F25" s="196">
        <f t="shared" si="29"/>
        <v>0.15578669576739218</v>
      </c>
      <c r="G25" s="69">
        <f t="shared" si="29"/>
        <v>0.14383245739585485</v>
      </c>
      <c r="H25" s="69">
        <f t="shared" si="29"/>
        <v>0.13863422955895952</v>
      </c>
      <c r="I25" s="75">
        <f t="shared" ref="I25" si="30">I24/I10</f>
        <v>0.1666955473052032</v>
      </c>
      <c r="J25" s="69">
        <f t="shared" ref="J25:N25" si="31">J24/J10</f>
        <v>0.10455151439107062</v>
      </c>
      <c r="K25" s="69">
        <f t="shared" si="31"/>
        <v>0.10455151439107059</v>
      </c>
      <c r="L25" s="69">
        <f t="shared" si="31"/>
        <v>0.10455151439107059</v>
      </c>
      <c r="M25" s="69">
        <f t="shared" si="31"/>
        <v>0.10455151439107062</v>
      </c>
      <c r="N25" s="75">
        <f t="shared" si="31"/>
        <v>0.10455151439107059</v>
      </c>
      <c r="O25" s="12"/>
      <c r="P25" s="12"/>
      <c r="Q25" s="12"/>
    </row>
    <row r="26" spans="2:17" ht="16" customHeight="1" x14ac:dyDescent="0.2">
      <c r="B26" s="56" t="s">
        <v>18</v>
      </c>
      <c r="C26" s="83">
        <f t="shared" ref="C26:H26" si="32">C24/C27</f>
        <v>0.60310142934533484</v>
      </c>
      <c r="D26" s="83">
        <f t="shared" si="32"/>
        <v>1.4314059904803309</v>
      </c>
      <c r="E26" s="83">
        <f t="shared" si="32"/>
        <v>1.5647986803280594</v>
      </c>
      <c r="F26" s="83">
        <f t="shared" si="32"/>
        <v>2.3268382266657279</v>
      </c>
      <c r="G26" s="83">
        <f t="shared" si="32"/>
        <v>2.7176280782563844</v>
      </c>
      <c r="H26" s="83">
        <f t="shared" si="32"/>
        <v>3.1406355392340553</v>
      </c>
      <c r="I26" s="84">
        <f t="shared" ref="I26" si="33">I24/I27</f>
        <v>4.5732941748566747</v>
      </c>
      <c r="J26" s="83">
        <f>J24/J27</f>
        <v>3.0656527930472612</v>
      </c>
      <c r="K26" s="83">
        <f t="shared" ref="K26:N26" si="34">K24/K27</f>
        <v>3.2805373158330604</v>
      </c>
      <c r="L26" s="83">
        <f>L24/L27</f>
        <v>3.5151993494448734</v>
      </c>
      <c r="M26" s="83">
        <f t="shared" si="34"/>
        <v>3.7721803382274466</v>
      </c>
      <c r="N26" s="84">
        <f t="shared" si="34"/>
        <v>4.0544705976742677</v>
      </c>
      <c r="O26" s="12"/>
      <c r="P26" s="12"/>
      <c r="Q26" s="12"/>
    </row>
    <row r="27" spans="2:17" ht="16" customHeight="1" thickBot="1" x14ac:dyDescent="0.25">
      <c r="B27" s="62" t="s">
        <v>53</v>
      </c>
      <c r="C27" s="228">
        <f>'Datos Tweenvest'!C143</f>
        <v>191976000</v>
      </c>
      <c r="D27" s="228">
        <f>'Datos Tweenvest'!D143</f>
        <v>179418000</v>
      </c>
      <c r="E27" s="228">
        <f>'Datos Tweenvest'!E143</f>
        <v>172164000</v>
      </c>
      <c r="F27" s="228">
        <f>'Datos Tweenvest'!F143</f>
        <v>170436000</v>
      </c>
      <c r="G27" s="228">
        <f>'Datos Tweenvest'!G143</f>
        <v>166734000</v>
      </c>
      <c r="H27" s="228">
        <f>'Datos Tweenvest'!H143</f>
        <v>160116000</v>
      </c>
      <c r="I27" s="228">
        <f>'Datos Tweenvest'!I143</f>
        <v>156288000</v>
      </c>
      <c r="J27" s="85">
        <f>I27-'2.Flujos de caja'!J30</f>
        <v>153542084.68014973</v>
      </c>
      <c r="K27" s="85">
        <f>J27-'2.Flujos de caja'!K30</f>
        <v>150658873.59430695</v>
      </c>
      <c r="L27" s="85">
        <f>K27-'2.Flujos de caja'!L30</f>
        <v>147631501.95417202</v>
      </c>
      <c r="M27" s="85">
        <f>L27-'2.Flujos de caja'!M30</f>
        <v>144452761.73203033</v>
      </c>
      <c r="N27" s="85">
        <f>M27-'2.Flujos de caja'!N30</f>
        <v>141115084.49878156</v>
      </c>
      <c r="O27" s="158"/>
      <c r="P27" s="12"/>
      <c r="Q27" s="12"/>
    </row>
    <row r="28" spans="2:17" ht="16" customHeight="1" x14ac:dyDescent="0.2">
      <c r="B28" s="63"/>
      <c r="C28" s="72"/>
      <c r="D28" s="72"/>
      <c r="E28" s="72"/>
      <c r="F28" s="72"/>
      <c r="G28" s="72"/>
      <c r="H28" s="72"/>
      <c r="I28" s="72"/>
      <c r="J28" s="72"/>
      <c r="K28" s="72"/>
      <c r="L28" s="73"/>
      <c r="M28" s="16"/>
      <c r="N28" s="16"/>
      <c r="O28" s="12"/>
      <c r="P28" s="12"/>
      <c r="Q28" s="12"/>
    </row>
    <row r="29" spans="2:17" ht="16" customHeight="1" x14ac:dyDescent="0.2">
      <c r="B29" s="63"/>
      <c r="C29" s="73"/>
      <c r="D29" s="73"/>
      <c r="E29" s="73"/>
      <c r="F29" s="73"/>
      <c r="G29" s="73"/>
      <c r="H29" s="73"/>
      <c r="I29" s="73"/>
      <c r="J29" s="72"/>
      <c r="K29" s="72"/>
      <c r="L29" s="73"/>
      <c r="M29" s="16"/>
      <c r="N29" s="16"/>
      <c r="O29" s="12"/>
      <c r="P29" s="12"/>
      <c r="Q29" s="12"/>
    </row>
    <row r="30" spans="2:17" ht="16" customHeight="1" x14ac:dyDescent="0.2">
      <c r="B30" s="63"/>
      <c r="C30" s="72"/>
      <c r="D30" s="72"/>
      <c r="E30" s="72"/>
      <c r="F30" s="72"/>
      <c r="G30" s="72"/>
      <c r="H30" s="72"/>
      <c r="I30" s="72"/>
      <c r="J30" s="72"/>
      <c r="K30" s="72"/>
      <c r="L30" s="72"/>
      <c r="M30" s="16"/>
      <c r="N30" s="16"/>
      <c r="O30" s="12"/>
      <c r="P30" s="12"/>
      <c r="Q30" s="12"/>
    </row>
    <row r="31" spans="2:17" ht="16" customHeight="1" x14ac:dyDescent="0.2">
      <c r="B31" s="230"/>
      <c r="C31" s="230"/>
      <c r="D31" s="230"/>
      <c r="E31" s="230"/>
      <c r="F31" s="230"/>
      <c r="G31" s="230"/>
      <c r="H31" s="230"/>
      <c r="I31" s="230"/>
      <c r="J31" s="230"/>
      <c r="K31" s="230"/>
      <c r="L31" s="230"/>
      <c r="M31" s="16"/>
      <c r="N31" s="16"/>
      <c r="O31" s="12"/>
      <c r="P31" s="12"/>
      <c r="Q31" s="12"/>
    </row>
    <row r="32" spans="2:17" ht="16" customHeight="1" x14ac:dyDescent="0.2">
      <c r="B32" s="63"/>
      <c r="C32" s="72"/>
      <c r="D32" s="72"/>
      <c r="E32" s="72"/>
      <c r="F32" s="72"/>
      <c r="G32" s="72"/>
      <c r="H32" s="72"/>
      <c r="I32" s="72"/>
      <c r="J32" s="72"/>
      <c r="K32" s="72"/>
      <c r="L32" s="72"/>
      <c r="M32" s="16"/>
      <c r="N32" s="16"/>
    </row>
    <row r="33" spans="2:14" ht="16" customHeight="1" x14ac:dyDescent="0.2">
      <c r="B33" s="63"/>
      <c r="C33" s="67"/>
      <c r="D33" s="67"/>
      <c r="E33" s="67"/>
      <c r="F33" s="67"/>
      <c r="G33" s="67"/>
      <c r="H33" s="67"/>
      <c r="I33" s="67"/>
      <c r="J33" s="72"/>
      <c r="K33" s="72"/>
      <c r="L33" s="72"/>
      <c r="M33" s="16"/>
      <c r="N33" s="16"/>
    </row>
    <row r="34" spans="2:14" ht="16" customHeight="1" x14ac:dyDescent="0.2">
      <c r="B34" s="64"/>
      <c r="C34" s="83"/>
      <c r="D34" s="83"/>
      <c r="E34" s="83"/>
      <c r="F34" s="83"/>
      <c r="G34" s="83"/>
      <c r="H34" s="83"/>
      <c r="I34" s="83"/>
      <c r="J34" s="83"/>
      <c r="K34" s="83"/>
      <c r="L34" s="83"/>
      <c r="M34" s="16"/>
      <c r="N34" s="16"/>
    </row>
    <row r="35" spans="2:14" ht="16" customHeight="1" x14ac:dyDescent="0.2">
      <c r="B35" s="63"/>
      <c r="C35" s="72"/>
      <c r="D35" s="72"/>
      <c r="E35" s="72"/>
      <c r="F35" s="72"/>
      <c r="G35" s="72"/>
      <c r="H35" s="73"/>
      <c r="I35" s="72"/>
      <c r="J35" s="72"/>
      <c r="K35" s="72"/>
      <c r="L35" s="72"/>
      <c r="M35" s="16"/>
      <c r="N35" s="16"/>
    </row>
    <row r="36" spans="2:14" ht="16" customHeight="1" x14ac:dyDescent="0.2">
      <c r="B36" s="63"/>
      <c r="C36" s="72"/>
      <c r="D36" s="73"/>
      <c r="E36" s="73"/>
      <c r="F36" s="72"/>
      <c r="G36" s="72"/>
      <c r="H36" s="72"/>
      <c r="I36" s="72"/>
      <c r="J36" s="72"/>
      <c r="K36" s="72"/>
      <c r="L36" s="72"/>
      <c r="M36" s="16"/>
      <c r="N36" s="16"/>
    </row>
    <row r="37" spans="2:14" ht="16" customHeight="1" x14ac:dyDescent="0.2">
      <c r="B37" s="64"/>
      <c r="C37" s="83"/>
      <c r="D37" s="83"/>
      <c r="E37" s="83"/>
      <c r="F37" s="83"/>
      <c r="G37" s="83"/>
      <c r="H37" s="83"/>
      <c r="I37" s="83"/>
      <c r="J37" s="83"/>
      <c r="K37" s="83"/>
      <c r="L37" s="83"/>
      <c r="M37" s="16"/>
      <c r="N37" s="16"/>
    </row>
    <row r="38" spans="2:14" ht="16" customHeight="1" x14ac:dyDescent="0.2">
      <c r="B38" s="63"/>
      <c r="C38" s="72"/>
      <c r="D38" s="72"/>
      <c r="E38" s="72"/>
      <c r="F38" s="72"/>
      <c r="G38" s="72"/>
      <c r="H38" s="72"/>
      <c r="I38" s="72"/>
      <c r="J38" s="72"/>
      <c r="K38" s="72"/>
      <c r="L38" s="72"/>
      <c r="M38" s="16"/>
      <c r="N38" s="16"/>
    </row>
    <row r="39" spans="2:14" ht="16" customHeight="1" x14ac:dyDescent="0.2">
      <c r="B39" s="63"/>
      <c r="C39" s="73"/>
      <c r="D39" s="72"/>
      <c r="E39" s="72"/>
      <c r="F39" s="72"/>
      <c r="G39" s="72"/>
      <c r="H39" s="72"/>
      <c r="I39" s="72"/>
      <c r="J39" s="72"/>
      <c r="K39" s="72"/>
      <c r="L39" s="72"/>
      <c r="M39" s="16"/>
      <c r="N39" s="16"/>
    </row>
    <row r="40" spans="2:14" ht="16" customHeight="1" x14ac:dyDescent="0.2">
      <c r="B40" s="63"/>
      <c r="C40" s="72"/>
      <c r="D40" s="72"/>
      <c r="E40" s="72"/>
      <c r="F40" s="72"/>
      <c r="G40" s="73"/>
      <c r="H40" s="72"/>
      <c r="I40" s="72"/>
      <c r="J40" s="72"/>
      <c r="K40" s="72"/>
      <c r="L40" s="72"/>
      <c r="M40" s="16"/>
      <c r="N40" s="16"/>
    </row>
    <row r="41" spans="2:14" ht="16" customHeight="1" x14ac:dyDescent="0.2">
      <c r="B41" s="63"/>
      <c r="C41" s="73"/>
      <c r="D41" s="73"/>
      <c r="E41" s="72"/>
      <c r="F41" s="72"/>
      <c r="G41" s="72"/>
      <c r="H41" s="72"/>
      <c r="I41" s="72"/>
      <c r="J41" s="72"/>
      <c r="K41" s="72"/>
      <c r="L41" s="72"/>
      <c r="M41" s="16"/>
      <c r="N41" s="16"/>
    </row>
    <row r="42" spans="2:14" ht="16" customHeight="1" x14ac:dyDescent="0.2">
      <c r="B42" s="64"/>
      <c r="C42" s="83"/>
      <c r="D42" s="83"/>
      <c r="E42" s="83"/>
      <c r="F42" s="83"/>
      <c r="G42" s="86"/>
      <c r="H42" s="83"/>
      <c r="I42" s="83"/>
      <c r="J42" s="83"/>
      <c r="K42" s="83"/>
      <c r="L42" s="83"/>
      <c r="M42" s="16"/>
      <c r="N42" s="16"/>
    </row>
    <row r="43" spans="2:14" ht="16" customHeight="1" x14ac:dyDescent="0.2">
      <c r="B43" s="231"/>
      <c r="C43" s="231"/>
      <c r="D43" s="231"/>
      <c r="E43" s="231"/>
      <c r="F43" s="231"/>
      <c r="G43" s="231"/>
      <c r="H43" s="231"/>
      <c r="I43" s="231"/>
      <c r="J43" s="231"/>
      <c r="K43" s="231"/>
      <c r="L43" s="231"/>
      <c r="M43" s="16"/>
      <c r="N43" s="16"/>
    </row>
    <row r="44" spans="2:14" ht="16" customHeight="1" x14ac:dyDescent="0.2">
      <c r="B44" s="63"/>
      <c r="C44" s="72"/>
      <c r="D44" s="72"/>
      <c r="E44" s="72"/>
      <c r="F44" s="72"/>
      <c r="G44" s="72"/>
      <c r="H44" s="72"/>
      <c r="I44" s="72"/>
      <c r="J44" s="72"/>
      <c r="K44" s="72"/>
      <c r="L44" s="72"/>
      <c r="M44" s="16"/>
      <c r="N44" s="16"/>
    </row>
    <row r="45" spans="2:14" ht="16" customHeight="1" x14ac:dyDescent="0.2">
      <c r="B45" s="63"/>
      <c r="C45" s="72"/>
      <c r="D45" s="72"/>
      <c r="E45" s="72"/>
      <c r="F45" s="72"/>
      <c r="G45" s="73"/>
      <c r="H45" s="72"/>
      <c r="I45" s="72"/>
      <c r="J45" s="72"/>
      <c r="K45" s="72"/>
      <c r="L45" s="72"/>
      <c r="M45" s="16"/>
      <c r="N45" s="16"/>
    </row>
    <row r="46" spans="2:14" ht="16" customHeight="1" x14ac:dyDescent="0.2">
      <c r="B46" s="63"/>
      <c r="C46" s="72"/>
      <c r="D46" s="72"/>
      <c r="E46" s="72"/>
      <c r="F46" s="72"/>
      <c r="G46" s="72"/>
      <c r="H46" s="72"/>
      <c r="I46" s="72"/>
      <c r="J46" s="72"/>
      <c r="K46" s="72"/>
      <c r="L46" s="72"/>
      <c r="M46" s="16"/>
      <c r="N46" s="16"/>
    </row>
  </sheetData>
  <mergeCells count="5">
    <mergeCell ref="B31:L31"/>
    <mergeCell ref="B43:L43"/>
    <mergeCell ref="B2:B8"/>
    <mergeCell ref="C2:N7"/>
    <mergeCell ref="B17:B18"/>
  </mergeCells>
  <pageMargins left="0.7" right="0.7" top="0.75" bottom="0.75" header="0.3" footer="0.3"/>
  <pageSetup paperSize="9" orientation="portrait" r:id="rId1"/>
  <headerFooter>
    <oddHeader>&amp;L&amp;"Arial"&amp;8&amp;K000000INTERNAL&amp;1#</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31"/>
  <sheetViews>
    <sheetView topLeftCell="G14" zoomScale="162" zoomScaleNormal="100" workbookViewId="0">
      <selection activeCell="J31" sqref="J31"/>
    </sheetView>
  </sheetViews>
  <sheetFormatPr baseColWidth="10" defaultColWidth="9.1640625" defaultRowHeight="16" x14ac:dyDescent="0.2"/>
  <cols>
    <col min="1" max="1" width="3.5" customWidth="1"/>
    <col min="2" max="2" width="46.5" style="25" customWidth="1"/>
    <col min="3" max="3" width="11.6640625" bestFit="1" customWidth="1"/>
    <col min="4" max="4" width="28.5" customWidth="1"/>
    <col min="5" max="5" width="19" customWidth="1"/>
    <col min="6" max="6" width="17.1640625" customWidth="1"/>
    <col min="7" max="7" width="17.5" customWidth="1"/>
    <col min="8" max="8" width="16.83203125" customWidth="1"/>
    <col min="9" max="9" width="23.6640625" customWidth="1"/>
    <col min="10" max="10" width="15.5" customWidth="1"/>
    <col min="11" max="11" width="18.83203125" customWidth="1"/>
    <col min="12" max="13" width="15.83203125" customWidth="1"/>
    <col min="14" max="14" width="16.1640625" customWidth="1"/>
  </cols>
  <sheetData>
    <row r="1" spans="2:15" ht="17" thickBot="1" x14ac:dyDescent="0.25"/>
    <row r="2" spans="2:15" ht="15" customHeight="1" x14ac:dyDescent="0.2">
      <c r="B2" s="232"/>
      <c r="C2" s="247"/>
      <c r="D2" s="248"/>
      <c r="E2" s="248"/>
      <c r="F2" s="248"/>
      <c r="G2" s="248"/>
      <c r="H2" s="248"/>
      <c r="I2" s="248"/>
      <c r="J2" s="248"/>
      <c r="K2" s="248"/>
      <c r="L2" s="248"/>
      <c r="M2" s="248"/>
      <c r="N2" s="249"/>
    </row>
    <row r="3" spans="2:15" ht="15" customHeight="1" x14ac:dyDescent="0.2">
      <c r="B3" s="233"/>
      <c r="C3" s="250"/>
      <c r="D3" s="251"/>
      <c r="E3" s="251"/>
      <c r="F3" s="251"/>
      <c r="G3" s="251"/>
      <c r="H3" s="251"/>
      <c r="I3" s="251"/>
      <c r="J3" s="251"/>
      <c r="K3" s="251"/>
      <c r="L3" s="251"/>
      <c r="M3" s="251"/>
      <c r="N3" s="252"/>
    </row>
    <row r="4" spans="2:15" ht="15" customHeight="1" x14ac:dyDescent="0.2">
      <c r="B4" s="233"/>
      <c r="C4" s="250"/>
      <c r="D4" s="251"/>
      <c r="E4" s="251"/>
      <c r="F4" s="251"/>
      <c r="G4" s="251"/>
      <c r="H4" s="251"/>
      <c r="I4" s="251"/>
      <c r="J4" s="251"/>
      <c r="K4" s="251"/>
      <c r="L4" s="251"/>
      <c r="M4" s="251"/>
      <c r="N4" s="252"/>
    </row>
    <row r="5" spans="2:15" ht="15" customHeight="1" x14ac:dyDescent="0.2">
      <c r="B5" s="233"/>
      <c r="C5" s="250"/>
      <c r="D5" s="251"/>
      <c r="E5" s="251"/>
      <c r="F5" s="251"/>
      <c r="G5" s="251"/>
      <c r="H5" s="251"/>
      <c r="I5" s="251"/>
      <c r="J5" s="251"/>
      <c r="K5" s="251"/>
      <c r="L5" s="251"/>
      <c r="M5" s="251"/>
      <c r="N5" s="252"/>
    </row>
    <row r="6" spans="2:15" ht="15" customHeight="1" x14ac:dyDescent="0.2">
      <c r="B6" s="233"/>
      <c r="C6" s="250"/>
      <c r="D6" s="251"/>
      <c r="E6" s="251"/>
      <c r="F6" s="251"/>
      <c r="G6" s="251"/>
      <c r="H6" s="251"/>
      <c r="I6" s="251"/>
      <c r="J6" s="251"/>
      <c r="K6" s="251"/>
      <c r="L6" s="251"/>
      <c r="M6" s="251"/>
      <c r="N6" s="252"/>
    </row>
    <row r="7" spans="2:15" ht="48.75" customHeight="1" thickBot="1" x14ac:dyDescent="0.25">
      <c r="B7" s="233"/>
      <c r="C7" s="250"/>
      <c r="D7" s="251"/>
      <c r="E7" s="251"/>
      <c r="F7" s="251"/>
      <c r="G7" s="251"/>
      <c r="H7" s="251"/>
      <c r="I7" s="251"/>
      <c r="J7" s="251"/>
      <c r="K7" s="251"/>
      <c r="L7" s="251"/>
      <c r="M7" s="251"/>
      <c r="N7" s="252"/>
    </row>
    <row r="8" spans="2:15" ht="18.75" customHeight="1" thickBot="1" x14ac:dyDescent="0.25">
      <c r="B8" s="246"/>
      <c r="C8" s="28">
        <v>2018</v>
      </c>
      <c r="D8" s="29">
        <v>2019</v>
      </c>
      <c r="E8" s="28">
        <v>2020</v>
      </c>
      <c r="F8" s="29">
        <v>2021</v>
      </c>
      <c r="G8" s="28">
        <v>2022</v>
      </c>
      <c r="H8" s="29">
        <v>2023</v>
      </c>
      <c r="I8" s="28">
        <v>2024</v>
      </c>
      <c r="J8" s="206">
        <v>2025</v>
      </c>
      <c r="K8" s="87">
        <v>2026</v>
      </c>
      <c r="L8" s="206">
        <v>2027</v>
      </c>
      <c r="M8" s="87">
        <v>2028</v>
      </c>
      <c r="N8" s="206">
        <v>2029</v>
      </c>
    </row>
    <row r="9" spans="2:15" x14ac:dyDescent="0.2">
      <c r="B9" s="55" t="s">
        <v>36</v>
      </c>
      <c r="C9" s="30"/>
      <c r="D9" s="31"/>
      <c r="E9" s="31"/>
      <c r="F9" s="31"/>
      <c r="G9" s="31"/>
      <c r="H9" s="31"/>
      <c r="I9" s="200"/>
      <c r="J9" s="31"/>
      <c r="K9" s="31"/>
      <c r="L9" s="31"/>
      <c r="M9" s="32"/>
      <c r="N9" s="33"/>
    </row>
    <row r="10" spans="2:15" x14ac:dyDescent="0.2">
      <c r="B10" s="56" t="s">
        <v>6</v>
      </c>
      <c r="C10" s="118">
        <f>'1.Income statement'!C12</f>
        <v>275240000</v>
      </c>
      <c r="D10" s="118">
        <f>'1.Income statement'!D12</f>
        <v>371048000</v>
      </c>
      <c r="E10" s="118">
        <f>'1.Income statement'!E12</f>
        <v>378084000</v>
      </c>
      <c r="F10" s="118">
        <f>'1.Income statement'!F12</f>
        <v>562074000</v>
      </c>
      <c r="G10" s="118">
        <f>'1.Income statement'!G12</f>
        <v>610771000</v>
      </c>
      <c r="H10" s="118">
        <f>'1.Income statement'!H12</f>
        <v>703426000</v>
      </c>
      <c r="I10" s="119">
        <f>'1.Income statement'!I12</f>
        <v>994280000</v>
      </c>
      <c r="J10" s="218">
        <f>'1.Income statement'!J12</f>
        <v>690767511.00000012</v>
      </c>
      <c r="K10" s="118">
        <f>'1.Income statement'!K12</f>
        <v>725305886.55000007</v>
      </c>
      <c r="L10" s="220">
        <f>'1.Income statement'!L12</f>
        <v>761571180.87750006</v>
      </c>
      <c r="M10" s="220">
        <f>'1.Income statement'!M12</f>
        <v>799649739.92137516</v>
      </c>
      <c r="N10" s="221">
        <f>'1.Income statement'!N12</f>
        <v>839632226.91744375</v>
      </c>
    </row>
    <row r="11" spans="2:15" x14ac:dyDescent="0.2">
      <c r="B11" s="147" t="s">
        <v>38</v>
      </c>
      <c r="C11" s="123">
        <f>-'Datos Tweenvest'!C116</f>
        <v>34813000</v>
      </c>
      <c r="D11" s="123">
        <f>-'Datos Tweenvest'!D116</f>
        <v>29086000</v>
      </c>
      <c r="E11" s="123">
        <f>-'Datos Tweenvest'!E116</f>
        <v>32455000</v>
      </c>
      <c r="F11" s="123">
        <f>-'Datos Tweenvest'!F116</f>
        <v>32218000</v>
      </c>
      <c r="G11" s="123">
        <f>-'Datos Tweenvest'!G116</f>
        <v>51017000</v>
      </c>
      <c r="H11" s="123">
        <f>-'Datos Tweenvest'!H116</f>
        <v>81025000</v>
      </c>
      <c r="I11" s="123">
        <f>-'Datos Tweenvest'!I116</f>
        <v>89365000</v>
      </c>
      <c r="J11" s="111">
        <f>(I11*'1.Income statement'!$P$11)+I11</f>
        <v>93833250</v>
      </c>
      <c r="K11" s="219">
        <f>(J11*'1.Income statement'!$P$11)+J11</f>
        <v>98524912.5</v>
      </c>
      <c r="L11" s="219">
        <f>(K11*'1.Income statement'!$P$11)+K11</f>
        <v>103451158.125</v>
      </c>
      <c r="M11" s="219">
        <f>(L11*'1.Income statement'!$P$11)+L11</f>
        <v>108623716.03125</v>
      </c>
      <c r="N11" s="49">
        <f>(M11*'1.Income statement'!$P$11)+M11</f>
        <v>114054901.8328125</v>
      </c>
      <c r="O11" s="168"/>
    </row>
    <row r="12" spans="2:15" x14ac:dyDescent="0.2">
      <c r="B12" s="207" t="s">
        <v>78</v>
      </c>
      <c r="C12" s="209">
        <v>0</v>
      </c>
      <c r="D12" s="209">
        <v>0</v>
      </c>
      <c r="E12" s="209">
        <v>0</v>
      </c>
      <c r="F12" s="209">
        <v>0</v>
      </c>
      <c r="G12" s="209">
        <v>0</v>
      </c>
      <c r="H12" s="209">
        <v>0</v>
      </c>
      <c r="I12" s="209">
        <v>0</v>
      </c>
      <c r="J12" s="111">
        <f>(I12*'1.Income statement'!$P$11)+I12</f>
        <v>0</v>
      </c>
      <c r="K12" s="53">
        <f>(J12*'1.Income statement'!$P$11)+J12</f>
        <v>0</v>
      </c>
      <c r="L12" s="53">
        <f>(K12*'1.Income statement'!$P$11)+K12</f>
        <v>0</v>
      </c>
      <c r="M12" s="53">
        <f>(L12*'1.Income statement'!$P$11)+L12</f>
        <v>0</v>
      </c>
      <c r="N12" s="54">
        <f>(M12*'1.Income statement'!$P$11)+M12</f>
        <v>0</v>
      </c>
      <c r="O12" s="168"/>
    </row>
    <row r="13" spans="2:15" x14ac:dyDescent="0.2">
      <c r="B13" s="148" t="s">
        <v>37</v>
      </c>
      <c r="C13" s="53">
        <f>'1.Income statement'!C17</f>
        <v>4585000</v>
      </c>
      <c r="D13" s="53">
        <f>'1.Income statement'!D17</f>
        <v>4661000</v>
      </c>
      <c r="E13" s="53">
        <f>'1.Income statement'!E17</f>
        <v>5046000</v>
      </c>
      <c r="F13" s="53">
        <f>'1.Income statement'!F17</f>
        <v>6028000</v>
      </c>
      <c r="G13" s="53">
        <f>'1.Income statement'!G17</f>
        <v>2083000</v>
      </c>
      <c r="H13" s="53">
        <f>'1.Income statement'!H17</f>
        <v>3442000</v>
      </c>
      <c r="I13" s="53">
        <f>'1.Income statement'!I17</f>
        <v>2564000</v>
      </c>
      <c r="J13" s="111">
        <f>'1.Income statement'!J17</f>
        <v>2692200</v>
      </c>
      <c r="K13" s="53">
        <f>'1.Income statement'!K17</f>
        <v>2826810</v>
      </c>
      <c r="L13" s="53">
        <f>'1.Income statement'!L17</f>
        <v>2968150.5</v>
      </c>
      <c r="M13" s="53">
        <f>'1.Income statement'!M17</f>
        <v>3116558.0249999999</v>
      </c>
      <c r="N13" s="54">
        <f>'1.Income statement'!N17</f>
        <v>3272385.92625</v>
      </c>
    </row>
    <row r="14" spans="2:15" x14ac:dyDescent="0.2">
      <c r="B14" s="148" t="s">
        <v>39</v>
      </c>
      <c r="C14" s="53">
        <f>'1.Income statement'!C20</f>
        <v>106302000</v>
      </c>
      <c r="D14" s="53">
        <f>'1.Income statement'!D20</f>
        <v>64626000</v>
      </c>
      <c r="E14" s="53">
        <f>'1.Income statement'!E20</f>
        <v>64724000</v>
      </c>
      <c r="F14" s="53">
        <f>'1.Income statement'!F20</f>
        <v>118939000</v>
      </c>
      <c r="G14" s="53">
        <f>'1.Income statement'!G20</f>
        <v>112689000</v>
      </c>
      <c r="H14" s="53">
        <f>'1.Income statement'!H20</f>
        <v>149260000</v>
      </c>
      <c r="I14" s="54">
        <f>'1.Income statement'!I20</f>
        <v>219378000</v>
      </c>
      <c r="J14" s="53">
        <f>'1.Income statement'!J20</f>
        <v>156902240.25000003</v>
      </c>
      <c r="K14" s="53">
        <f>'1.Income statement'!K20</f>
        <v>164747352.26250002</v>
      </c>
      <c r="L14" s="53">
        <f>'1.Income statement'!L20</f>
        <v>172984719.87562501</v>
      </c>
      <c r="M14" s="53">
        <f>'1.Income statement'!M20</f>
        <v>181633955.86940628</v>
      </c>
      <c r="N14" s="54">
        <f>'1.Income statement'!N20</f>
        <v>190715653.66287658</v>
      </c>
    </row>
    <row r="15" spans="2:15" x14ac:dyDescent="0.2">
      <c r="B15" s="149" t="s">
        <v>75</v>
      </c>
      <c r="C15" s="146">
        <f>'1.Income statement'!C23</f>
        <v>0</v>
      </c>
      <c r="D15" s="146">
        <f>'1.Income statement'!D23</f>
        <v>0</v>
      </c>
      <c r="E15" s="146">
        <f>'1.Income statement'!E23</f>
        <v>0</v>
      </c>
      <c r="F15" s="146">
        <f>'1.Income statement'!F23</f>
        <v>0</v>
      </c>
      <c r="G15" s="146">
        <f>'1.Income statement'!G23</f>
        <v>0</v>
      </c>
      <c r="H15" s="146">
        <f>'1.Income statement'!H23</f>
        <v>0</v>
      </c>
      <c r="I15" s="201">
        <f>'1.Income statement'!I23</f>
        <v>0</v>
      </c>
      <c r="J15" s="150">
        <f>'1.Income statement'!J23</f>
        <v>0</v>
      </c>
      <c r="K15" s="150">
        <f>'1.Income statement'!K23</f>
        <v>0</v>
      </c>
      <c r="L15" s="150">
        <f>'1.Income statement'!L23</f>
        <v>0</v>
      </c>
      <c r="M15" s="150">
        <f>'1.Income statement'!M23</f>
        <v>0</v>
      </c>
      <c r="N15" s="151">
        <f>'1.Income statement'!N23</f>
        <v>0</v>
      </c>
    </row>
    <row r="16" spans="2:15" x14ac:dyDescent="0.2">
      <c r="B16" s="57" t="s">
        <v>8</v>
      </c>
      <c r="C16" s="120">
        <f>C10-C11-C13-C14-C15-C12</f>
        <v>129540000</v>
      </c>
      <c r="D16" s="120">
        <f t="shared" ref="D16:H16" si="0">D10-D11-D13-D14-D15-D12</f>
        <v>272675000</v>
      </c>
      <c r="E16" s="120">
        <f t="shared" si="0"/>
        <v>275859000</v>
      </c>
      <c r="F16" s="120">
        <f t="shared" si="0"/>
        <v>404889000</v>
      </c>
      <c r="G16" s="120">
        <f t="shared" si="0"/>
        <v>444982000</v>
      </c>
      <c r="H16" s="120">
        <f t="shared" si="0"/>
        <v>469699000</v>
      </c>
      <c r="I16" s="202">
        <f>I10-I11-I13-I14-I15-I12</f>
        <v>682973000</v>
      </c>
      <c r="J16" s="120">
        <f t="shared" ref="J16:N16" si="1">J10-J11-J13-J14-J15-J12</f>
        <v>437339820.75000012</v>
      </c>
      <c r="K16" s="120">
        <f>K10-K11-K13-K14-K15-K12</f>
        <v>459206811.78750002</v>
      </c>
      <c r="L16" s="120">
        <f>L10-L11-L13-L14-L15-L12</f>
        <v>482167152.37687504</v>
      </c>
      <c r="M16" s="120">
        <f t="shared" si="1"/>
        <v>506275509.9957189</v>
      </c>
      <c r="N16" s="202">
        <f t="shared" si="1"/>
        <v>531589285.49550462</v>
      </c>
      <c r="O16" s="168"/>
    </row>
    <row r="17" spans="2:14" ht="17" thickBot="1" x14ac:dyDescent="0.25">
      <c r="B17" s="58" t="s">
        <v>9</v>
      </c>
      <c r="C17" s="34">
        <f>C16/'1.Income statement'!C27</f>
        <v>0.67477184648081012</v>
      </c>
      <c r="D17" s="34">
        <f>D16/'1.Income statement'!D27</f>
        <v>1.51977505044087</v>
      </c>
      <c r="E17" s="34">
        <f>E16/'1.Income statement'!E27</f>
        <v>1.6023036174810066</v>
      </c>
      <c r="F17" s="34">
        <f>F16/'1.Income statement'!F27</f>
        <v>2.3756072660705483</v>
      </c>
      <c r="G17" s="34">
        <f>G16/'1.Income statement'!G27</f>
        <v>2.6688137992251129</v>
      </c>
      <c r="H17" s="34">
        <f>H16/'1.Income statement'!H27</f>
        <v>2.9334919683229659</v>
      </c>
      <c r="I17" s="35">
        <f>I16/'1.Income statement'!I27</f>
        <v>4.3699644246519247</v>
      </c>
      <c r="J17" s="34">
        <f>J16/'1.Income statement'!J27</f>
        <v>2.848338432170189</v>
      </c>
      <c r="K17" s="34">
        <f>K16/'1.Income statement'!K27</f>
        <v>3.0479904756493044</v>
      </c>
      <c r="L17" s="34">
        <f>L16/'1.Income statement'!L27</f>
        <v>3.2660180652131419</v>
      </c>
      <c r="M17" s="34">
        <f>M16/'1.Income statement'!M27</f>
        <v>3.504782490312607</v>
      </c>
      <c r="N17" s="35">
        <f>N16/'1.Income statement'!N27</f>
        <v>3.7670620925014897</v>
      </c>
    </row>
    <row r="18" spans="2:14" x14ac:dyDescent="0.2">
      <c r="B18" s="24"/>
      <c r="C18" s="2"/>
      <c r="D18" s="2"/>
      <c r="E18" s="2"/>
      <c r="F18" s="2"/>
      <c r="G18" s="2"/>
      <c r="H18" s="2"/>
      <c r="I18" s="2"/>
      <c r="J18" s="2"/>
      <c r="K18" s="2"/>
      <c r="L18" s="2"/>
      <c r="M18" s="2"/>
      <c r="N18" s="2"/>
    </row>
    <row r="19" spans="2:14" x14ac:dyDescent="0.2">
      <c r="B19" s="3"/>
      <c r="C19" s="2"/>
      <c r="D19" s="2"/>
      <c r="E19" s="2"/>
      <c r="F19" s="2"/>
      <c r="G19" s="2"/>
      <c r="H19" s="2"/>
      <c r="I19" s="2"/>
      <c r="J19" s="2"/>
      <c r="K19" s="2"/>
      <c r="L19" s="2"/>
      <c r="M19" s="2"/>
      <c r="N19" s="2"/>
    </row>
    <row r="20" spans="2:14" x14ac:dyDescent="0.2">
      <c r="B20" s="24"/>
      <c r="C20" s="2"/>
      <c r="D20" s="2"/>
      <c r="E20" s="2"/>
      <c r="F20" s="2"/>
      <c r="G20" s="2"/>
      <c r="H20" s="2"/>
      <c r="I20" s="2"/>
      <c r="J20" s="2"/>
      <c r="K20" s="2"/>
      <c r="L20" s="2"/>
      <c r="M20" s="2"/>
      <c r="N20" s="2"/>
    </row>
    <row r="21" spans="2:14" x14ac:dyDescent="0.2">
      <c r="B21" s="24"/>
      <c r="C21" s="2"/>
      <c r="D21" s="2"/>
      <c r="E21" s="2"/>
      <c r="F21" s="2"/>
      <c r="G21" s="2"/>
      <c r="H21" s="2"/>
      <c r="I21" s="2"/>
      <c r="J21" s="2">
        <v>2025</v>
      </c>
      <c r="K21" s="2">
        <v>2026</v>
      </c>
      <c r="L21" s="2">
        <v>2027</v>
      </c>
      <c r="M21" s="2">
        <v>2028</v>
      </c>
      <c r="N21" s="2">
        <v>2029</v>
      </c>
    </row>
    <row r="22" spans="2:14" x14ac:dyDescent="0.2">
      <c r="B22" s="24"/>
      <c r="C22" s="2"/>
      <c r="D22" s="2"/>
      <c r="E22" s="2"/>
      <c r="F22" s="2"/>
      <c r="G22" s="2"/>
      <c r="H22" s="2"/>
      <c r="I22" s="296" t="s">
        <v>227</v>
      </c>
      <c r="J22" s="292">
        <f>J16</f>
        <v>437339820.75000012</v>
      </c>
      <c r="K22" s="294">
        <f>K16</f>
        <v>459206811.78750002</v>
      </c>
      <c r="L22" s="288">
        <f>L16</f>
        <v>482167152.37687504</v>
      </c>
      <c r="M22" s="288">
        <f t="shared" ref="M22:N22" si="2">M16</f>
        <v>506275509.9957189</v>
      </c>
      <c r="N22" s="288">
        <f t="shared" si="2"/>
        <v>531589285.49550462</v>
      </c>
    </row>
    <row r="23" spans="2:14" x14ac:dyDescent="0.2">
      <c r="B23" s="24"/>
      <c r="C23" s="2"/>
      <c r="D23" s="2"/>
      <c r="E23" s="2"/>
      <c r="F23" s="2"/>
      <c r="G23" s="2"/>
      <c r="H23" s="2"/>
      <c r="I23" s="296" t="s">
        <v>222</v>
      </c>
      <c r="J23" s="289">
        <f>'1.Income statement'!I27</f>
        <v>156288000</v>
      </c>
      <c r="K23" s="289">
        <f>'1.Income statement'!J27</f>
        <v>153542084.68014973</v>
      </c>
      <c r="L23" s="289">
        <f>'1.Income statement'!K27</f>
        <v>150658873.59430695</v>
      </c>
      <c r="M23" s="289">
        <f>'1.Income statement'!L27</f>
        <v>147631501.95417202</v>
      </c>
      <c r="N23" s="289">
        <f>'1.Income statement'!M27</f>
        <v>144452761.73203033</v>
      </c>
    </row>
    <row r="24" spans="2:14" x14ac:dyDescent="0.2">
      <c r="B24" s="24"/>
      <c r="C24" s="2"/>
      <c r="D24" s="2"/>
      <c r="E24" s="2"/>
      <c r="F24" s="2"/>
      <c r="G24" s="2"/>
      <c r="H24" s="2"/>
      <c r="I24" s="296" t="s">
        <v>223</v>
      </c>
      <c r="J24" s="2">
        <f>'4. Valoración'!Q9</f>
        <v>82.82</v>
      </c>
      <c r="K24" s="2">
        <v>82.82</v>
      </c>
      <c r="L24" s="2">
        <v>82.82</v>
      </c>
      <c r="M24" s="2">
        <v>82.82</v>
      </c>
      <c r="N24" s="2">
        <v>82.82</v>
      </c>
    </row>
    <row r="25" spans="2:14" x14ac:dyDescent="0.2">
      <c r="B25" s="24"/>
      <c r="C25" s="1"/>
      <c r="D25" s="1"/>
      <c r="E25" s="1"/>
      <c r="F25" s="1"/>
      <c r="G25" s="1"/>
      <c r="H25" s="1"/>
      <c r="I25" s="14"/>
      <c r="J25" s="1"/>
      <c r="K25" s="1"/>
      <c r="L25" s="1"/>
      <c r="M25" s="1"/>
      <c r="N25" s="1"/>
    </row>
    <row r="26" spans="2:14" x14ac:dyDescent="0.2">
      <c r="B26" s="24"/>
      <c r="C26" s="1"/>
      <c r="D26" s="1"/>
      <c r="E26" s="1"/>
      <c r="F26" s="1"/>
      <c r="G26" s="1"/>
      <c r="H26" s="1"/>
      <c r="I26" s="14" t="s">
        <v>224</v>
      </c>
      <c r="J26" s="1">
        <f>52%</f>
        <v>0.52</v>
      </c>
      <c r="K26" s="1">
        <v>0.52</v>
      </c>
      <c r="L26" s="1">
        <v>0.52</v>
      </c>
      <c r="M26" s="1">
        <v>0.52</v>
      </c>
      <c r="N26" s="1">
        <v>0.52</v>
      </c>
    </row>
    <row r="27" spans="2:14" x14ac:dyDescent="0.2">
      <c r="B27" s="24"/>
      <c r="C27" s="1"/>
      <c r="D27" s="1"/>
      <c r="E27" s="1"/>
      <c r="F27" s="1"/>
      <c r="G27" s="1"/>
      <c r="H27" s="1"/>
      <c r="I27" s="14"/>
      <c r="J27" s="1"/>
      <c r="K27" s="1"/>
      <c r="L27" s="1"/>
      <c r="M27" s="1"/>
      <c r="N27" s="1"/>
    </row>
    <row r="28" spans="2:14" x14ac:dyDescent="0.2">
      <c r="B28" s="24"/>
      <c r="C28" s="1"/>
      <c r="D28" s="1"/>
      <c r="E28" s="1"/>
      <c r="F28" s="1"/>
      <c r="G28" s="1"/>
      <c r="H28" s="1"/>
      <c r="I28" s="14" t="s">
        <v>225</v>
      </c>
      <c r="J28" s="291">
        <f>J26*J22</f>
        <v>227416706.79000008</v>
      </c>
      <c r="K28" s="295">
        <f>K26*K22</f>
        <v>238787542.12950003</v>
      </c>
      <c r="L28" s="295">
        <f>L26*L22</f>
        <v>250726919.23597503</v>
      </c>
      <c r="M28" s="295">
        <f t="shared" ref="M28:N28" si="3">M26*M22</f>
        <v>263263265.19777384</v>
      </c>
      <c r="N28" s="295">
        <f t="shared" si="3"/>
        <v>276426428.4576624</v>
      </c>
    </row>
    <row r="29" spans="2:14" x14ac:dyDescent="0.2">
      <c r="B29" s="24"/>
      <c r="C29" s="1"/>
      <c r="D29" s="1"/>
      <c r="E29" s="1"/>
      <c r="F29" s="1"/>
      <c r="G29" s="1"/>
      <c r="H29" s="1"/>
      <c r="I29" s="14"/>
      <c r="J29" s="1"/>
      <c r="K29" s="1"/>
      <c r="L29" s="1"/>
      <c r="M29" s="1"/>
      <c r="N29" s="1"/>
    </row>
    <row r="30" spans="2:14" x14ac:dyDescent="0.2">
      <c r="B30" s="24"/>
      <c r="C30" s="1"/>
      <c r="D30" s="1"/>
      <c r="E30" s="1"/>
      <c r="F30" s="1"/>
      <c r="G30" s="1"/>
      <c r="H30" s="1"/>
      <c r="I30" s="14" t="s">
        <v>226</v>
      </c>
      <c r="J30" s="293">
        <f>J28/J24</f>
        <v>2745915.319850279</v>
      </c>
      <c r="K30" s="293">
        <f>K28/K24</f>
        <v>2883211.0858427924</v>
      </c>
      <c r="L30" s="293">
        <f>L28/L24</f>
        <v>3027371.6401349315</v>
      </c>
      <c r="M30" s="293">
        <f t="shared" ref="M30:N30" si="4">M28/M24</f>
        <v>3178740.2221416789</v>
      </c>
      <c r="N30" s="293">
        <f t="shared" si="4"/>
        <v>3337677.2332487614</v>
      </c>
    </row>
    <row r="31" spans="2:14" x14ac:dyDescent="0.2">
      <c r="B31" s="24"/>
      <c r="C31" s="1"/>
      <c r="D31" s="1"/>
      <c r="E31" s="1"/>
      <c r="F31" s="1"/>
      <c r="G31" s="1"/>
      <c r="H31" s="1"/>
      <c r="I31" s="14" t="s">
        <v>228</v>
      </c>
      <c r="J31" s="291">
        <f>J22-J28</f>
        <v>209923113.96000004</v>
      </c>
      <c r="K31" s="291">
        <f t="shared" ref="K31:N31" si="5">K22-K28</f>
        <v>220419269.65799999</v>
      </c>
      <c r="L31" s="291">
        <f t="shared" si="5"/>
        <v>231440233.14090002</v>
      </c>
      <c r="M31" s="291">
        <f t="shared" si="5"/>
        <v>243012244.79794505</v>
      </c>
      <c r="N31" s="291">
        <f t="shared" si="5"/>
        <v>255162857.03784221</v>
      </c>
    </row>
  </sheetData>
  <mergeCells count="2">
    <mergeCell ref="B2:B8"/>
    <mergeCell ref="C2:N7"/>
  </mergeCells>
  <pageMargins left="0.7" right="0.7" top="0.75" bottom="0.75" header="0.3" footer="0.3"/>
  <pageSetup paperSize="9" orientation="portrait" r:id="rId1"/>
  <headerFooter>
    <oddHeader>&amp;L&amp;"Arial"&amp;8&amp;K000000INTERNAL&amp;1#</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P29"/>
  <sheetViews>
    <sheetView topLeftCell="E4" zoomScale="150" zoomScaleNormal="100" workbookViewId="0">
      <selection activeCell="F23" sqref="F23"/>
    </sheetView>
  </sheetViews>
  <sheetFormatPr baseColWidth="10" defaultColWidth="9.1640625" defaultRowHeight="15" x14ac:dyDescent="0.2"/>
  <cols>
    <col min="1" max="1" width="4.1640625" customWidth="1"/>
    <col min="2" max="2" width="45.6640625" customWidth="1"/>
    <col min="3" max="3" width="16.6640625" customWidth="1"/>
    <col min="4" max="5" width="16.83203125" customWidth="1"/>
    <col min="6" max="6" width="19.5" customWidth="1"/>
    <col min="7" max="7" width="18.33203125" customWidth="1"/>
    <col min="8" max="8" width="16" customWidth="1"/>
    <col min="9" max="9" width="16.6640625" customWidth="1"/>
    <col min="10" max="10" width="20.6640625" customWidth="1"/>
    <col min="11" max="11" width="16.1640625" customWidth="1"/>
    <col min="12" max="12" width="18" customWidth="1"/>
    <col min="13" max="13" width="16.5" customWidth="1"/>
    <col min="14" max="14" width="17.6640625" customWidth="1"/>
    <col min="15" max="15" width="13.83203125" customWidth="1"/>
  </cols>
  <sheetData>
    <row r="1" spans="2:16" ht="16" thickBot="1" x14ac:dyDescent="0.25"/>
    <row r="2" spans="2:16" ht="15" customHeight="1" x14ac:dyDescent="0.2">
      <c r="B2" s="253"/>
      <c r="C2" s="247"/>
      <c r="D2" s="248"/>
      <c r="E2" s="248"/>
      <c r="F2" s="248"/>
      <c r="G2" s="248"/>
      <c r="H2" s="248"/>
      <c r="I2" s="248"/>
      <c r="J2" s="248"/>
      <c r="K2" s="248"/>
      <c r="L2" s="248"/>
      <c r="M2" s="248"/>
      <c r="N2" s="249"/>
    </row>
    <row r="3" spans="2:16" ht="15" customHeight="1" x14ac:dyDescent="0.2">
      <c r="B3" s="254"/>
      <c r="C3" s="250"/>
      <c r="D3" s="251"/>
      <c r="E3" s="251"/>
      <c r="F3" s="251"/>
      <c r="G3" s="251"/>
      <c r="H3" s="251"/>
      <c r="I3" s="251"/>
      <c r="J3" s="251"/>
      <c r="K3" s="251"/>
      <c r="L3" s="251"/>
      <c r="M3" s="251"/>
      <c r="N3" s="252"/>
    </row>
    <row r="4" spans="2:16" ht="15" customHeight="1" x14ac:dyDescent="0.2">
      <c r="B4" s="254"/>
      <c r="C4" s="250"/>
      <c r="D4" s="251"/>
      <c r="E4" s="251"/>
      <c r="F4" s="251"/>
      <c r="G4" s="251"/>
      <c r="H4" s="251"/>
      <c r="I4" s="251"/>
      <c r="J4" s="251"/>
      <c r="K4" s="251"/>
      <c r="L4" s="251"/>
      <c r="M4" s="251"/>
      <c r="N4" s="252"/>
    </row>
    <row r="5" spans="2:16" ht="15" customHeight="1" x14ac:dyDescent="0.2">
      <c r="B5" s="254"/>
      <c r="C5" s="250"/>
      <c r="D5" s="251"/>
      <c r="E5" s="251"/>
      <c r="F5" s="251"/>
      <c r="G5" s="251"/>
      <c r="H5" s="251"/>
      <c r="I5" s="251"/>
      <c r="J5" s="251"/>
      <c r="K5" s="251"/>
      <c r="L5" s="251"/>
      <c r="M5" s="251"/>
      <c r="N5" s="252"/>
    </row>
    <row r="6" spans="2:16" ht="15" customHeight="1" x14ac:dyDescent="0.2">
      <c r="B6" s="254"/>
      <c r="C6" s="250"/>
      <c r="D6" s="251"/>
      <c r="E6" s="251"/>
      <c r="F6" s="251"/>
      <c r="G6" s="251"/>
      <c r="H6" s="251"/>
      <c r="I6" s="251"/>
      <c r="J6" s="251"/>
      <c r="K6" s="251"/>
      <c r="L6" s="251"/>
      <c r="M6" s="251"/>
      <c r="N6" s="252"/>
    </row>
    <row r="7" spans="2:16" ht="48.75" customHeight="1" thickBot="1" x14ac:dyDescent="0.25">
      <c r="B7" s="254"/>
      <c r="C7" s="250"/>
      <c r="D7" s="251"/>
      <c r="E7" s="251"/>
      <c r="F7" s="251"/>
      <c r="G7" s="251"/>
      <c r="H7" s="251"/>
      <c r="I7" s="251"/>
      <c r="J7" s="251"/>
      <c r="K7" s="251"/>
      <c r="L7" s="251"/>
      <c r="M7" s="251"/>
      <c r="N7" s="252"/>
    </row>
    <row r="8" spans="2:16" ht="18.75" customHeight="1" thickBot="1" x14ac:dyDescent="0.25">
      <c r="B8" s="254"/>
      <c r="C8" s="28">
        <v>2018</v>
      </c>
      <c r="D8" s="29">
        <v>2019</v>
      </c>
      <c r="E8" s="28">
        <v>2020</v>
      </c>
      <c r="F8" s="29">
        <v>2021</v>
      </c>
      <c r="G8" s="28">
        <v>2022</v>
      </c>
      <c r="H8" s="29">
        <v>2023</v>
      </c>
      <c r="I8" s="28">
        <v>2024</v>
      </c>
      <c r="J8" s="206">
        <v>2025</v>
      </c>
      <c r="K8" s="87">
        <v>2026</v>
      </c>
      <c r="L8" s="206">
        <v>2027</v>
      </c>
      <c r="M8" s="87">
        <v>2028</v>
      </c>
      <c r="N8" s="206">
        <v>2029</v>
      </c>
    </row>
    <row r="9" spans="2:16" ht="17" thickBot="1" x14ac:dyDescent="0.25">
      <c r="B9" s="36" t="s">
        <v>40</v>
      </c>
      <c r="C9" s="59"/>
      <c r="D9" s="60"/>
      <c r="E9" s="60"/>
      <c r="F9" s="60"/>
      <c r="G9" s="60"/>
      <c r="H9" s="60"/>
      <c r="I9" s="121"/>
      <c r="J9" s="59"/>
      <c r="K9" s="60"/>
      <c r="L9" s="60"/>
      <c r="M9" s="42"/>
      <c r="N9" s="43"/>
    </row>
    <row r="10" spans="2:16" ht="16" thickBot="1" x14ac:dyDescent="0.25">
      <c r="B10" s="159" t="s">
        <v>11</v>
      </c>
      <c r="C10" s="38">
        <f>'1.Income statement'!C15</f>
        <v>226668000</v>
      </c>
      <c r="D10" s="38">
        <f>'1.Income statement'!D15</f>
        <v>326107000</v>
      </c>
      <c r="E10" s="38">
        <f>'1.Income statement'!E15</f>
        <v>339172000</v>
      </c>
      <c r="F10" s="38">
        <f>'1.Income statement'!F15</f>
        <v>521544000</v>
      </c>
      <c r="G10" s="38">
        <f>'1.Income statement'!G15</f>
        <v>567893000</v>
      </c>
      <c r="H10" s="38">
        <f>'1.Income statement'!H15</f>
        <v>655568000</v>
      </c>
      <c r="I10" s="38">
        <f>'1.Income statement'!I15</f>
        <v>936693000</v>
      </c>
      <c r="J10" s="37">
        <f>'1.Income statement'!J15</f>
        <v>630301161.00000012</v>
      </c>
      <c r="K10" s="38">
        <f>'1.Income statement'!K15</f>
        <v>661816219.05000007</v>
      </c>
      <c r="L10" s="38">
        <f>'1.Income statement'!L15</f>
        <v>694907030.00250006</v>
      </c>
      <c r="M10" s="38">
        <f>'1.Income statement'!M15</f>
        <v>729652381.50262511</v>
      </c>
      <c r="N10" s="39">
        <f>'1.Income statement'!N15</f>
        <v>766135000.57775629</v>
      </c>
      <c r="O10" s="14" t="s">
        <v>31</v>
      </c>
      <c r="P10" s="9">
        <f>'1.Income statement'!P11</f>
        <v>0.05</v>
      </c>
    </row>
    <row r="11" spans="2:16" x14ac:dyDescent="0.2">
      <c r="B11" s="160" t="s">
        <v>41</v>
      </c>
      <c r="C11" s="45">
        <f>'1.Income statement'!C17</f>
        <v>4585000</v>
      </c>
      <c r="D11" s="45">
        <f>'1.Income statement'!D17</f>
        <v>4661000</v>
      </c>
      <c r="E11" s="45">
        <f>'1.Income statement'!E17</f>
        <v>5046000</v>
      </c>
      <c r="F11" s="45">
        <f>'1.Income statement'!F17</f>
        <v>6028000</v>
      </c>
      <c r="G11" s="45">
        <f>'1.Income statement'!G17</f>
        <v>2083000</v>
      </c>
      <c r="H11" s="45">
        <f>'1.Income statement'!H17</f>
        <v>3442000</v>
      </c>
      <c r="I11" s="45">
        <f>'1.Income statement'!I17</f>
        <v>2564000</v>
      </c>
      <c r="J11" s="44">
        <f>'1.Income statement'!J17</f>
        <v>2692200</v>
      </c>
      <c r="K11" s="45">
        <f>'1.Income statement'!K17</f>
        <v>2826810</v>
      </c>
      <c r="L11" s="45">
        <f>'1.Income statement'!L17</f>
        <v>2968150.5</v>
      </c>
      <c r="M11" s="45">
        <f>'1.Income statement'!M17</f>
        <v>3116558.0249999999</v>
      </c>
      <c r="N11" s="46">
        <f>'1.Income statement'!N17</f>
        <v>3272385.92625</v>
      </c>
    </row>
    <row r="12" spans="2:16" x14ac:dyDescent="0.2">
      <c r="B12" s="161" t="s">
        <v>39</v>
      </c>
      <c r="C12" s="47">
        <f>'1.Income statement'!C20</f>
        <v>106302000</v>
      </c>
      <c r="D12" s="47">
        <f>'1.Income statement'!D20</f>
        <v>64626000</v>
      </c>
      <c r="E12" s="47">
        <f>'1.Income statement'!E20</f>
        <v>64724000</v>
      </c>
      <c r="F12" s="47">
        <f>'1.Income statement'!F20</f>
        <v>118939000</v>
      </c>
      <c r="G12" s="47">
        <f>'1.Income statement'!G20</f>
        <v>112689000</v>
      </c>
      <c r="H12" s="47">
        <f>'1.Income statement'!H20</f>
        <v>149260000</v>
      </c>
      <c r="I12" s="48">
        <f>'1.Income statement'!I20</f>
        <v>219378000</v>
      </c>
      <c r="J12" s="47">
        <f>'1.Income statement'!J20</f>
        <v>156902240.25000003</v>
      </c>
      <c r="K12" s="47">
        <f>'1.Income statement'!K20</f>
        <v>164747352.26250002</v>
      </c>
      <c r="L12" s="47">
        <f>'1.Income statement'!L20</f>
        <v>172984719.87562501</v>
      </c>
      <c r="M12" s="47">
        <f>'1.Income statement'!M20</f>
        <v>181633955.86940628</v>
      </c>
      <c r="N12" s="48">
        <f>'1.Income statement'!N20</f>
        <v>190715653.66287658</v>
      </c>
    </row>
    <row r="13" spans="2:16" x14ac:dyDescent="0.2">
      <c r="B13" s="162" t="s">
        <v>12</v>
      </c>
      <c r="C13" s="38">
        <f>'1.Income statement'!C24</f>
        <v>115781000</v>
      </c>
      <c r="D13" s="38">
        <f>'1.Income statement'!D24</f>
        <v>256820000</v>
      </c>
      <c r="E13" s="38">
        <f>'1.Income statement'!E24</f>
        <v>269402000</v>
      </c>
      <c r="F13" s="38">
        <f>'1.Income statement'!F24</f>
        <v>396577000</v>
      </c>
      <c r="G13" s="38">
        <f>'1.Income statement'!G24</f>
        <v>453121000</v>
      </c>
      <c r="H13" s="38">
        <f>'1.Income statement'!H24</f>
        <v>502866000</v>
      </c>
      <c r="I13" s="38">
        <f>'1.Income statement'!I24</f>
        <v>714751000</v>
      </c>
      <c r="J13" s="37">
        <f>'1.Income statement'!J24</f>
        <v>470706720.75000012</v>
      </c>
      <c r="K13" s="38">
        <f>'1.Income statement'!K24</f>
        <v>494242056.78750002</v>
      </c>
      <c r="L13" s="38">
        <f>'1.Income statement'!L24</f>
        <v>518954159.62687504</v>
      </c>
      <c r="M13" s="38">
        <f>'1.Income statement'!M24</f>
        <v>544901867.60821891</v>
      </c>
      <c r="N13" s="39">
        <f>'1.Income statement'!N24</f>
        <v>572146960.9886297</v>
      </c>
    </row>
    <row r="14" spans="2:16" x14ac:dyDescent="0.2">
      <c r="B14" s="163" t="s">
        <v>44</v>
      </c>
      <c r="C14" s="209">
        <f>'Datos Tweenvest'!C39</f>
        <v>429970000</v>
      </c>
      <c r="D14" s="209">
        <f>'Datos Tweenvest'!D39</f>
        <v>589692000</v>
      </c>
      <c r="E14" s="209">
        <f>'Datos Tweenvest'!E39</f>
        <v>649436000</v>
      </c>
      <c r="F14" s="209">
        <f>'Datos Tweenvest'!F39</f>
        <v>1089361000</v>
      </c>
      <c r="G14" s="209">
        <f>'Datos Tweenvest'!G39</f>
        <v>843527000</v>
      </c>
      <c r="H14" s="209">
        <f>'Datos Tweenvest'!H39</f>
        <v>981795000</v>
      </c>
      <c r="I14" s="209">
        <f>'Datos Tweenvest'!I39</f>
        <v>1502051000</v>
      </c>
      <c r="J14" s="47">
        <f>I14*$P$10+I14</f>
        <v>1577153550</v>
      </c>
      <c r="K14" s="47">
        <f t="shared" ref="K14:N14" si="0">J14*$P$10+J14</f>
        <v>1656011227.5</v>
      </c>
      <c r="L14" s="47">
        <f t="shared" si="0"/>
        <v>1738811788.875</v>
      </c>
      <c r="M14" s="47">
        <f t="shared" si="0"/>
        <v>1825752378.3187499</v>
      </c>
      <c r="N14" s="47">
        <f t="shared" si="0"/>
        <v>1917039997.2346873</v>
      </c>
      <c r="O14" s="168"/>
    </row>
    <row r="15" spans="2:16" x14ac:dyDescent="0.2">
      <c r="B15" s="163" t="s">
        <v>84</v>
      </c>
      <c r="C15" s="209">
        <f>'Datos Tweenvest'!C83</f>
        <v>32082000</v>
      </c>
      <c r="D15" s="209">
        <f>'Datos Tweenvest'!D83</f>
        <v>31504000</v>
      </c>
      <c r="E15" s="209">
        <f>'Datos Tweenvest'!E83</f>
        <v>295716000</v>
      </c>
      <c r="F15" s="209">
        <f>'Datos Tweenvest'!F83</f>
        <v>223042000</v>
      </c>
      <c r="G15" s="209">
        <f>'Datos Tweenvest'!G83</f>
        <v>222070000</v>
      </c>
      <c r="H15" s="209">
        <f>'Datos Tweenvest'!H83</f>
        <v>246488000</v>
      </c>
      <c r="I15" s="209">
        <f>'Datos Tweenvest'!I83</f>
        <v>266879000</v>
      </c>
      <c r="J15" s="47">
        <f t="shared" ref="J15:J18" si="1">I15*$P$10+I15</f>
        <v>280222950</v>
      </c>
      <c r="K15" s="47">
        <f t="shared" ref="K15:N15" si="2">J15*$P$10+J15</f>
        <v>294234097.5</v>
      </c>
      <c r="L15" s="47">
        <f t="shared" si="2"/>
        <v>308945802.375</v>
      </c>
      <c r="M15" s="47">
        <f t="shared" si="2"/>
        <v>324393092.49374998</v>
      </c>
      <c r="N15" s="48">
        <f t="shared" si="2"/>
        <v>340612747.11843747</v>
      </c>
    </row>
    <row r="16" spans="2:16" x14ac:dyDescent="0.2">
      <c r="B16" s="208" t="s">
        <v>79</v>
      </c>
      <c r="C16" s="209">
        <v>0</v>
      </c>
      <c r="D16" s="209">
        <v>0</v>
      </c>
      <c r="E16" s="209">
        <v>0</v>
      </c>
      <c r="F16" s="209">
        <v>0</v>
      </c>
      <c r="G16" s="209">
        <v>0</v>
      </c>
      <c r="H16" s="209">
        <v>0</v>
      </c>
      <c r="I16" s="209">
        <v>0</v>
      </c>
      <c r="J16" s="225">
        <f t="shared" ref="J16" si="3">I16*$P$10+I16</f>
        <v>0</v>
      </c>
      <c r="K16" s="47">
        <f t="shared" ref="K16" si="4">J16*$P$10+J16</f>
        <v>0</v>
      </c>
      <c r="L16" s="47">
        <f t="shared" ref="L16" si="5">K16*$P$10+K16</f>
        <v>0</v>
      </c>
      <c r="M16" s="47">
        <f t="shared" ref="M16" si="6">L16*$P$10+L16</f>
        <v>0</v>
      </c>
      <c r="N16" s="48">
        <f t="shared" ref="N16" si="7">M16*$P$10+M16</f>
        <v>0</v>
      </c>
    </row>
    <row r="17" spans="2:14" x14ac:dyDescent="0.2">
      <c r="B17" s="163" t="s">
        <v>42</v>
      </c>
      <c r="C17" s="223">
        <f>'Datos Tweenvest'!C52</f>
        <v>13990000</v>
      </c>
      <c r="D17" s="223">
        <f>'Datos Tweenvest'!D52</f>
        <v>13990000</v>
      </c>
      <c r="E17" s="223">
        <f>'Datos Tweenvest'!E52</f>
        <v>13990000</v>
      </c>
      <c r="F17" s="223">
        <f>'Datos Tweenvest'!F52</f>
        <v>13990000</v>
      </c>
      <c r="G17" s="223">
        <f>'Datos Tweenvest'!G52</f>
        <v>13990000</v>
      </c>
      <c r="H17" s="223">
        <f>'Datos Tweenvest'!H52</f>
        <v>13990000</v>
      </c>
      <c r="I17" s="223">
        <f>'Datos Tweenvest'!I52</f>
        <v>13990000</v>
      </c>
      <c r="J17" s="47">
        <f t="shared" si="1"/>
        <v>14689500</v>
      </c>
      <c r="K17" s="47">
        <f t="shared" ref="K17:N17" si="8">J17*$P$10+J17</f>
        <v>15423975</v>
      </c>
      <c r="L17" s="47">
        <f t="shared" si="8"/>
        <v>16195173.75</v>
      </c>
      <c r="M17" s="47">
        <f t="shared" si="8"/>
        <v>17004932.4375</v>
      </c>
      <c r="N17" s="48">
        <f t="shared" si="8"/>
        <v>17855179.059374999</v>
      </c>
    </row>
    <row r="18" spans="2:14" x14ac:dyDescent="0.2">
      <c r="B18" s="163" t="s">
        <v>43</v>
      </c>
      <c r="C18" s="224">
        <f>'Datos Tweenvest'!C80</f>
        <v>940779000</v>
      </c>
      <c r="D18" s="224">
        <f>'Datos Tweenvest'!D80</f>
        <v>1045130000</v>
      </c>
      <c r="E18" s="224">
        <f>'Datos Tweenvest'!E80</f>
        <v>1140120000</v>
      </c>
      <c r="F18" s="224">
        <f>'Datos Tweenvest'!F80</f>
        <v>1444225000</v>
      </c>
      <c r="G18" s="224">
        <f>'Datos Tweenvest'!G80</f>
        <v>1538825000</v>
      </c>
      <c r="H18" s="224">
        <f>'Datos Tweenvest'!H80</f>
        <v>1765733000</v>
      </c>
      <c r="I18" s="224">
        <f>'Datos Tweenvest'!I80</f>
        <v>2107468000</v>
      </c>
      <c r="J18" s="212">
        <f t="shared" si="1"/>
        <v>2212841400</v>
      </c>
      <c r="K18" s="122">
        <f t="shared" ref="K18:N18" si="9">J18*$P$10+J18</f>
        <v>2323483470</v>
      </c>
      <c r="L18" s="122">
        <f t="shared" si="9"/>
        <v>2439657643.5</v>
      </c>
      <c r="M18" s="122">
        <f t="shared" si="9"/>
        <v>2561640525.6750002</v>
      </c>
      <c r="N18" s="48">
        <f t="shared" si="9"/>
        <v>2689722551.9587502</v>
      </c>
    </row>
    <row r="19" spans="2:14" x14ac:dyDescent="0.2">
      <c r="B19" s="165" t="s">
        <v>48</v>
      </c>
      <c r="C19" s="53">
        <f t="shared" ref="C19:H19" si="10">C18+C15-C14+C16</f>
        <v>542891000</v>
      </c>
      <c r="D19" s="53">
        <f t="shared" si="10"/>
        <v>486942000</v>
      </c>
      <c r="E19" s="53">
        <f t="shared" si="10"/>
        <v>786400000</v>
      </c>
      <c r="F19" s="53">
        <f t="shared" si="10"/>
        <v>577906000</v>
      </c>
      <c r="G19" s="53">
        <f t="shared" si="10"/>
        <v>917368000</v>
      </c>
      <c r="H19" s="53">
        <f t="shared" si="10"/>
        <v>1030426000</v>
      </c>
      <c r="I19" s="49">
        <f>I18+I15-I14+I16</f>
        <v>872296000</v>
      </c>
      <c r="J19" s="53">
        <f>J18+J15-J14+J16</f>
        <v>915910800</v>
      </c>
      <c r="K19" s="53">
        <f t="shared" ref="K19:N19" si="11">K18+K15-K14+K16</f>
        <v>961706340</v>
      </c>
      <c r="L19" s="53">
        <f t="shared" si="11"/>
        <v>1009791657</v>
      </c>
      <c r="M19" s="53">
        <f t="shared" si="11"/>
        <v>1060281239.8500004</v>
      </c>
      <c r="N19" s="49">
        <f t="shared" si="11"/>
        <v>1113295301.8425002</v>
      </c>
    </row>
    <row r="20" spans="2:14" x14ac:dyDescent="0.2">
      <c r="B20" s="166" t="s">
        <v>49</v>
      </c>
      <c r="C20" s="50">
        <f t="shared" ref="C20:H20" si="12">C15-C14+C18-C17+C16</f>
        <v>528901000</v>
      </c>
      <c r="D20" s="50">
        <f t="shared" si="12"/>
        <v>472952000</v>
      </c>
      <c r="E20" s="50">
        <f t="shared" si="12"/>
        <v>772410000</v>
      </c>
      <c r="F20" s="50">
        <f t="shared" si="12"/>
        <v>563916000</v>
      </c>
      <c r="G20" s="50">
        <f t="shared" si="12"/>
        <v>903378000</v>
      </c>
      <c r="H20" s="50">
        <f t="shared" si="12"/>
        <v>1016436000</v>
      </c>
      <c r="I20" s="51">
        <f>I15-I14+I18-I17+I16</f>
        <v>858306000</v>
      </c>
      <c r="J20" s="50">
        <f t="shared" ref="J20:N20" si="13">J15-J14+J18-J17+J16</f>
        <v>901221300</v>
      </c>
      <c r="K20" s="50">
        <f t="shared" si="13"/>
        <v>946282365</v>
      </c>
      <c r="L20" s="50">
        <f t="shared" si="13"/>
        <v>993596483.25</v>
      </c>
      <c r="M20" s="50">
        <f t="shared" si="13"/>
        <v>1043276307.4125004</v>
      </c>
      <c r="N20" s="51">
        <f t="shared" si="13"/>
        <v>1095440122.7831254</v>
      </c>
    </row>
    <row r="21" spans="2:14" x14ac:dyDescent="0.2">
      <c r="B21" s="164"/>
      <c r="C21" s="52"/>
      <c r="D21" s="52"/>
      <c r="E21" s="52"/>
      <c r="F21" s="52"/>
      <c r="G21" s="52"/>
      <c r="H21" s="94"/>
      <c r="J21" s="111"/>
      <c r="K21" s="53"/>
      <c r="L21" s="53"/>
      <c r="M21" s="53"/>
      <c r="N21" s="54"/>
    </row>
    <row r="22" spans="2:14" x14ac:dyDescent="0.2">
      <c r="B22" s="163" t="s">
        <v>45</v>
      </c>
      <c r="C22" s="40">
        <f t="shared" ref="C22:I22" si="14">C13/C18</f>
        <v>0.12306928619792747</v>
      </c>
      <c r="D22" s="40">
        <f t="shared" si="14"/>
        <v>0.24573019624352951</v>
      </c>
      <c r="E22" s="40">
        <f t="shared" si="14"/>
        <v>0.23629267094691786</v>
      </c>
      <c r="F22" s="40">
        <f t="shared" si="14"/>
        <v>0.27459502501341548</v>
      </c>
      <c r="G22" s="40">
        <f t="shared" si="14"/>
        <v>0.2944590840413952</v>
      </c>
      <c r="H22" s="40">
        <f t="shared" si="14"/>
        <v>0.28479164177143429</v>
      </c>
      <c r="I22" s="40">
        <f t="shared" si="14"/>
        <v>0.33915153160095435</v>
      </c>
      <c r="J22" s="112">
        <f t="shared" ref="J22:N22" si="15">J13/J18</f>
        <v>0.21271597718209725</v>
      </c>
      <c r="K22" s="40">
        <f t="shared" si="15"/>
        <v>0.2127159771820972</v>
      </c>
      <c r="L22" s="40">
        <f t="shared" si="15"/>
        <v>0.2127159771820972</v>
      </c>
      <c r="M22" s="40">
        <f t="shared" si="15"/>
        <v>0.21271597718209723</v>
      </c>
      <c r="N22" s="41">
        <f t="shared" si="15"/>
        <v>0.21271597718209717</v>
      </c>
    </row>
    <row r="23" spans="2:14" x14ac:dyDescent="0.2">
      <c r="B23" s="163" t="s">
        <v>51</v>
      </c>
      <c r="C23" s="17">
        <f t="shared" ref="C23:I23" si="16">C10/C20</f>
        <v>0.42856413582125957</v>
      </c>
      <c r="D23" s="17">
        <f t="shared" si="16"/>
        <v>0.68951394644699671</v>
      </c>
      <c r="E23" s="17">
        <f t="shared" si="16"/>
        <v>0.43910876348053496</v>
      </c>
      <c r="F23" s="17">
        <f t="shared" si="16"/>
        <v>0.92486114953290921</v>
      </c>
      <c r="G23" s="17">
        <f t="shared" si="16"/>
        <v>0.6286327539523876</v>
      </c>
      <c r="H23" s="17">
        <f t="shared" si="16"/>
        <v>0.64496731717491318</v>
      </c>
      <c r="I23" s="17">
        <f t="shared" si="16"/>
        <v>1.0913275684895596</v>
      </c>
      <c r="J23" s="113">
        <f t="shared" ref="J23:N23" si="17">J10/J20</f>
        <v>0.69938555713230488</v>
      </c>
      <c r="K23" s="17">
        <f t="shared" si="17"/>
        <v>0.69938555713230488</v>
      </c>
      <c r="L23" s="17">
        <f t="shared" si="17"/>
        <v>0.69938555713230488</v>
      </c>
      <c r="M23" s="17">
        <f t="shared" si="17"/>
        <v>0.69938555713230466</v>
      </c>
      <c r="N23" s="19">
        <f t="shared" si="17"/>
        <v>0.69938555713230455</v>
      </c>
    </row>
    <row r="24" spans="2:14" ht="16" thickBot="1" x14ac:dyDescent="0.25">
      <c r="B24" s="167" t="s">
        <v>50</v>
      </c>
      <c r="C24" s="18">
        <f t="shared" ref="C24:H24" si="18">C10/C19</f>
        <v>0.41752027570912026</v>
      </c>
      <c r="D24" s="18">
        <f t="shared" si="18"/>
        <v>0.6697039893868264</v>
      </c>
      <c r="E24" s="18">
        <f t="shared" si="18"/>
        <v>0.43129704984740591</v>
      </c>
      <c r="F24" s="18">
        <f t="shared" si="18"/>
        <v>0.90247202832294526</v>
      </c>
      <c r="G24" s="18">
        <f t="shared" si="18"/>
        <v>0.61904600988916114</v>
      </c>
      <c r="H24" s="18">
        <f t="shared" si="18"/>
        <v>0.63621065462245707</v>
      </c>
      <c r="I24" s="18">
        <f>I10/I19</f>
        <v>1.0738247108779588</v>
      </c>
      <c r="J24" s="114">
        <f t="shared" ref="J24:N24" si="19">J10/J19</f>
        <v>0.6881687179581244</v>
      </c>
      <c r="K24" s="18">
        <f t="shared" si="19"/>
        <v>0.6881687179581244</v>
      </c>
      <c r="L24" s="18">
        <f t="shared" si="19"/>
        <v>0.6881687179581244</v>
      </c>
      <c r="M24" s="18">
        <f t="shared" si="19"/>
        <v>0.68816871795812418</v>
      </c>
      <c r="N24" s="20">
        <f t="shared" si="19"/>
        <v>0.68816871795812418</v>
      </c>
    </row>
    <row r="25" spans="2:14" x14ac:dyDescent="0.2">
      <c r="B25" s="1"/>
      <c r="C25" s="1"/>
      <c r="D25" s="1"/>
      <c r="E25" s="1"/>
      <c r="F25" s="1"/>
      <c r="G25" s="1"/>
      <c r="H25" s="1"/>
      <c r="I25" s="1"/>
      <c r="J25" s="1"/>
      <c r="K25" s="1"/>
      <c r="L25" s="1"/>
      <c r="M25" s="1"/>
      <c r="N25" s="1"/>
    </row>
    <row r="26" spans="2:14" x14ac:dyDescent="0.2">
      <c r="B26" s="1"/>
      <c r="C26" s="1"/>
      <c r="D26" s="1"/>
      <c r="E26" s="1"/>
      <c r="F26" s="1"/>
      <c r="G26" s="1"/>
      <c r="H26" s="1"/>
      <c r="I26" s="1"/>
      <c r="J26" s="1"/>
      <c r="K26" s="1"/>
      <c r="L26" s="1"/>
      <c r="M26" s="1"/>
      <c r="N26" s="1"/>
    </row>
    <row r="27" spans="2:14" x14ac:dyDescent="0.2">
      <c r="B27" s="1"/>
      <c r="C27" s="1"/>
      <c r="D27" s="1"/>
      <c r="E27" s="1"/>
      <c r="F27" s="1"/>
      <c r="G27" s="1"/>
      <c r="H27" s="1"/>
      <c r="I27" s="1"/>
      <c r="J27" s="1"/>
      <c r="K27" s="1"/>
      <c r="L27" s="1"/>
      <c r="M27" s="1"/>
      <c r="N27" s="1"/>
    </row>
    <row r="28" spans="2:14" x14ac:dyDescent="0.2">
      <c r="B28" s="1"/>
      <c r="C28" s="1"/>
      <c r="D28" s="1"/>
      <c r="E28" s="1"/>
      <c r="F28" s="1"/>
      <c r="G28" s="1"/>
      <c r="H28" s="1"/>
      <c r="I28" s="1"/>
      <c r="J28" s="1"/>
      <c r="K28" s="1"/>
      <c r="L28" s="1"/>
      <c r="M28" s="1"/>
      <c r="N28" s="1"/>
    </row>
    <row r="29" spans="2:14" x14ac:dyDescent="0.2">
      <c r="B29" s="1"/>
      <c r="C29" s="1"/>
      <c r="D29" s="1"/>
      <c r="E29" s="1"/>
      <c r="F29" s="1"/>
      <c r="G29" s="1"/>
      <c r="H29" s="1"/>
      <c r="I29" s="1"/>
      <c r="J29" s="1"/>
      <c r="K29" s="1"/>
      <c r="L29" s="1"/>
      <c r="M29" s="1"/>
      <c r="N29" s="1"/>
    </row>
  </sheetData>
  <mergeCells count="2">
    <mergeCell ref="B2:B8"/>
    <mergeCell ref="C2:N7"/>
  </mergeCells>
  <pageMargins left="0.7" right="0.7" top="0.75" bottom="0.75" header="0.3" footer="0.3"/>
  <pageSetup paperSize="9" orientation="portrait" r:id="rId1"/>
  <headerFooter>
    <oddHeader>&amp;L&amp;"Arial"&amp;8&amp;K000000INTERNAL&amp;1#</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V41"/>
  <sheetViews>
    <sheetView tabSelected="1" topLeftCell="B1" zoomScale="107" zoomScaleNormal="70" workbookViewId="0">
      <selection activeCell="J13" sqref="J13"/>
    </sheetView>
  </sheetViews>
  <sheetFormatPr baseColWidth="10" defaultColWidth="9.1640625" defaultRowHeight="15" x14ac:dyDescent="0.2"/>
  <cols>
    <col min="1" max="1" width="4" customWidth="1"/>
    <col min="2" max="2" width="35.5" customWidth="1"/>
    <col min="3" max="3" width="11.5" bestFit="1" customWidth="1"/>
    <col min="4" max="4" width="16.5" customWidth="1"/>
    <col min="5" max="5" width="16" customWidth="1"/>
    <col min="6" max="6" width="16.83203125" customWidth="1"/>
    <col min="7" max="7" width="15.33203125" customWidth="1"/>
    <col min="8" max="8" width="17.5" customWidth="1"/>
    <col min="9" max="9" width="14.5" customWidth="1"/>
    <col min="10" max="14" width="13" bestFit="1" customWidth="1"/>
    <col min="15" max="15" width="7" customWidth="1"/>
    <col min="16" max="16" width="13.6640625" customWidth="1"/>
  </cols>
  <sheetData>
    <row r="1" spans="2:22" ht="16" thickBot="1" x14ac:dyDescent="0.25"/>
    <row r="2" spans="2:22" ht="15" customHeight="1" x14ac:dyDescent="0.2">
      <c r="B2" s="253"/>
      <c r="C2" s="256"/>
      <c r="D2" s="257"/>
      <c r="E2" s="257"/>
      <c r="F2" s="257"/>
      <c r="G2" s="257"/>
      <c r="H2" s="257"/>
      <c r="I2" s="257"/>
      <c r="J2" s="257"/>
      <c r="K2" s="257"/>
      <c r="L2" s="257"/>
      <c r="M2" s="257"/>
      <c r="N2" s="258"/>
      <c r="O2" s="1"/>
      <c r="P2" s="1"/>
      <c r="Q2" s="1"/>
      <c r="R2" s="1"/>
      <c r="S2" s="1"/>
      <c r="T2" s="1"/>
      <c r="U2" s="1"/>
      <c r="V2" s="1"/>
    </row>
    <row r="3" spans="2:22" ht="15" customHeight="1" x14ac:dyDescent="0.2">
      <c r="B3" s="254"/>
      <c r="C3" s="259"/>
      <c r="D3" s="260"/>
      <c r="E3" s="260"/>
      <c r="F3" s="260"/>
      <c r="G3" s="260"/>
      <c r="H3" s="260"/>
      <c r="I3" s="260"/>
      <c r="J3" s="260"/>
      <c r="K3" s="260"/>
      <c r="L3" s="260"/>
      <c r="M3" s="260"/>
      <c r="N3" s="261"/>
      <c r="O3" s="1"/>
      <c r="P3" s="1"/>
      <c r="Q3" s="1"/>
      <c r="R3" s="1"/>
      <c r="S3" s="1"/>
      <c r="T3" s="1"/>
      <c r="U3" s="1"/>
      <c r="V3" s="1"/>
    </row>
    <row r="4" spans="2:22" ht="15" customHeight="1" x14ac:dyDescent="0.2">
      <c r="B4" s="254"/>
      <c r="C4" s="259"/>
      <c r="D4" s="260"/>
      <c r="E4" s="260"/>
      <c r="F4" s="260"/>
      <c r="G4" s="260"/>
      <c r="H4" s="260"/>
      <c r="I4" s="260"/>
      <c r="J4" s="260"/>
      <c r="K4" s="260"/>
      <c r="L4" s="260"/>
      <c r="M4" s="260"/>
      <c r="N4" s="261"/>
      <c r="O4" s="1"/>
      <c r="P4" s="1"/>
      <c r="Q4" s="1"/>
      <c r="R4" s="1"/>
      <c r="S4" s="1"/>
      <c r="T4" s="1"/>
      <c r="U4" s="1"/>
      <c r="V4" s="1"/>
    </row>
    <row r="5" spans="2:22" ht="15" customHeight="1" x14ac:dyDescent="0.2">
      <c r="B5" s="254"/>
      <c r="C5" s="259"/>
      <c r="D5" s="260"/>
      <c r="E5" s="260"/>
      <c r="F5" s="260"/>
      <c r="G5" s="260"/>
      <c r="H5" s="260"/>
      <c r="I5" s="260"/>
      <c r="J5" s="260"/>
      <c r="K5" s="260"/>
      <c r="L5" s="260"/>
      <c r="M5" s="260"/>
      <c r="N5" s="261"/>
      <c r="O5" s="1"/>
      <c r="P5" s="1"/>
      <c r="Q5" s="1"/>
      <c r="R5" s="1"/>
      <c r="S5" s="1"/>
      <c r="T5" s="1"/>
      <c r="U5" s="1"/>
      <c r="V5" s="1"/>
    </row>
    <row r="6" spans="2:22" ht="15" customHeight="1" x14ac:dyDescent="0.2">
      <c r="B6" s="254"/>
      <c r="C6" s="259"/>
      <c r="D6" s="260"/>
      <c r="E6" s="260"/>
      <c r="F6" s="260"/>
      <c r="G6" s="260"/>
      <c r="H6" s="260"/>
      <c r="I6" s="260"/>
      <c r="J6" s="260"/>
      <c r="K6" s="260"/>
      <c r="L6" s="260"/>
      <c r="M6" s="260"/>
      <c r="N6" s="261"/>
      <c r="O6" s="1"/>
      <c r="P6" s="1"/>
      <c r="Q6" s="1"/>
      <c r="R6" s="1"/>
      <c r="S6" s="1"/>
      <c r="U6" s="1"/>
      <c r="V6" s="1"/>
    </row>
    <row r="7" spans="2:22" ht="48.75" customHeight="1" thickBot="1" x14ac:dyDescent="0.25">
      <c r="B7" s="254"/>
      <c r="C7" s="259"/>
      <c r="D7" s="260"/>
      <c r="E7" s="260"/>
      <c r="F7" s="260"/>
      <c r="G7" s="260"/>
      <c r="H7" s="260"/>
      <c r="I7" s="260"/>
      <c r="J7" s="262"/>
      <c r="K7" s="262"/>
      <c r="L7" s="262"/>
      <c r="M7" s="262"/>
      <c r="N7" s="263"/>
      <c r="O7" s="1"/>
      <c r="P7" s="1"/>
      <c r="Q7" s="1"/>
      <c r="R7" s="1"/>
      <c r="S7" s="1"/>
      <c r="T7" s="1"/>
      <c r="U7" s="1"/>
      <c r="V7" s="1"/>
    </row>
    <row r="8" spans="2:22" ht="18.75" customHeight="1" thickBot="1" x14ac:dyDescent="0.25">
      <c r="B8" s="254"/>
      <c r="C8" s="28">
        <v>2018</v>
      </c>
      <c r="D8" s="29">
        <v>2019</v>
      </c>
      <c r="E8" s="28">
        <v>2020</v>
      </c>
      <c r="F8" s="29">
        <v>2021</v>
      </c>
      <c r="G8" s="28">
        <v>2022</v>
      </c>
      <c r="H8" s="29">
        <v>2023</v>
      </c>
      <c r="I8" s="28">
        <v>2024</v>
      </c>
      <c r="J8" s="206">
        <v>2025</v>
      </c>
      <c r="K8" s="87">
        <v>2026</v>
      </c>
      <c r="L8" s="206">
        <v>2027</v>
      </c>
      <c r="M8" s="87">
        <v>2028</v>
      </c>
      <c r="N8" s="206">
        <v>2029</v>
      </c>
      <c r="O8" s="171"/>
      <c r="P8" s="1"/>
      <c r="Q8" s="1"/>
      <c r="R8" s="1"/>
      <c r="S8" s="1"/>
      <c r="T8" s="1"/>
      <c r="U8" s="1"/>
      <c r="V8" s="1"/>
    </row>
    <row r="9" spans="2:22" ht="17" thickBot="1" x14ac:dyDescent="0.25">
      <c r="B9" s="96" t="s">
        <v>25</v>
      </c>
      <c r="C9" s="99"/>
      <c r="D9" s="26"/>
      <c r="E9" s="26"/>
      <c r="F9" s="26"/>
      <c r="G9" s="26"/>
      <c r="H9" s="26"/>
      <c r="I9" s="88"/>
      <c r="J9" s="26"/>
      <c r="K9" s="26"/>
      <c r="L9" s="26"/>
      <c r="M9" s="52"/>
      <c r="N9" s="100"/>
      <c r="O9" s="266" t="s">
        <v>14</v>
      </c>
      <c r="P9" s="267"/>
      <c r="Q9" s="13">
        <v>82.82</v>
      </c>
      <c r="R9" s="1"/>
      <c r="S9" s="1"/>
      <c r="T9" s="1"/>
      <c r="U9" s="1"/>
      <c r="V9" s="1"/>
    </row>
    <row r="10" spans="2:22" ht="17" thickBot="1" x14ac:dyDescent="0.25">
      <c r="B10" s="56" t="s">
        <v>24</v>
      </c>
      <c r="C10" s="98"/>
      <c r="D10" s="89"/>
      <c r="E10" s="89"/>
      <c r="F10" s="89"/>
      <c r="G10" s="89"/>
      <c r="H10" s="89"/>
      <c r="I10" s="90">
        <f>$Q$9*'1.Income statement'!I27</f>
        <v>12943772159.999998</v>
      </c>
      <c r="J10" s="89">
        <f>$Q$9*'1.Income statement'!J27</f>
        <v>12716355453.209999</v>
      </c>
      <c r="K10" s="89">
        <f>$Q$9*'1.Income statement'!K27</f>
        <v>12477567911.0805</v>
      </c>
      <c r="L10" s="89">
        <f>$Q$9*'1.Income statement'!L27</f>
        <v>12226840991.844524</v>
      </c>
      <c r="M10" s="89">
        <f>$Q$9*'1.Income statement'!M27</f>
        <v>11963577726.646751</v>
      </c>
      <c r="N10" s="101">
        <f>$Q$9*'1.Income statement'!N27</f>
        <v>11687151298.189089</v>
      </c>
      <c r="O10" s="12"/>
      <c r="P10" s="12"/>
      <c r="Q10" s="12"/>
      <c r="R10" s="1"/>
      <c r="S10" s="1"/>
      <c r="T10" s="1"/>
      <c r="U10" s="1"/>
      <c r="V10" s="1"/>
    </row>
    <row r="11" spans="2:22" ht="17" thickBot="1" x14ac:dyDescent="0.25">
      <c r="B11" s="56" t="s">
        <v>55</v>
      </c>
      <c r="C11" s="89">
        <f>'3.retornos capital'!C15-'3.retornos capital'!C14+'3.retornos capital'!C16</f>
        <v>-397888000</v>
      </c>
      <c r="D11" s="89">
        <f>'3.retornos capital'!D15-'3.retornos capital'!D14+'3.retornos capital'!D16</f>
        <v>-558188000</v>
      </c>
      <c r="E11" s="89">
        <f>'3.retornos capital'!E15-'3.retornos capital'!E14+'3.retornos capital'!E16</f>
        <v>-353720000</v>
      </c>
      <c r="F11" s="89">
        <f>'3.retornos capital'!F15-'3.retornos capital'!F14+'3.retornos capital'!F16</f>
        <v>-866319000</v>
      </c>
      <c r="G11" s="89">
        <f>'3.retornos capital'!G15-'3.retornos capital'!G14+'3.retornos capital'!G16</f>
        <v>-621457000</v>
      </c>
      <c r="H11" s="89">
        <f>'3.retornos capital'!H15-'3.retornos capital'!H14+'3.retornos capital'!H16</f>
        <v>-735307000</v>
      </c>
      <c r="I11" s="90">
        <f>'3.retornos capital'!I15-'3.retornos capital'!I14+'3.retornos capital'!I16</f>
        <v>-1235172000</v>
      </c>
      <c r="J11" s="173">
        <f>'Datos Tweenvest'!I84-'2.Flujos de caja'!J31</f>
        <v>-1445095113.96</v>
      </c>
      <c r="K11" s="173">
        <f>'Datos Tweenvest'!J84-'2.Flujos de caja'!K31</f>
        <v>-220419269.65799999</v>
      </c>
      <c r="L11" s="173">
        <f>'Datos Tweenvest'!K84-'2.Flujos de caja'!L31</f>
        <v>-231440233.14090002</v>
      </c>
      <c r="M11" s="173">
        <f>'Datos Tweenvest'!L84-'2.Flujos de caja'!M31</f>
        <v>-243012244.79794505</v>
      </c>
      <c r="N11" s="173">
        <f>'Datos Tweenvest'!M84-'2.Flujos de caja'!N31</f>
        <v>-255162857.03784221</v>
      </c>
      <c r="O11" s="264" t="s">
        <v>85</v>
      </c>
      <c r="P11" s="268"/>
      <c r="Q11" s="9">
        <v>0</v>
      </c>
      <c r="R11" s="1"/>
      <c r="S11" s="1"/>
      <c r="T11" s="1"/>
      <c r="U11" s="1"/>
      <c r="V11" s="1"/>
    </row>
    <row r="12" spans="2:22" ht="16" x14ac:dyDescent="0.2">
      <c r="B12" s="92" t="s">
        <v>76</v>
      </c>
      <c r="C12" s="115">
        <f>C11/'1.Income statement'!C12</f>
        <v>-1.4456038366516495</v>
      </c>
      <c r="D12" s="115">
        <f>D11/'1.Income statement'!D12</f>
        <v>-1.5043552316681399</v>
      </c>
      <c r="E12" s="115">
        <f>E11/'1.Income statement'!E12</f>
        <v>-0.9355592937019287</v>
      </c>
      <c r="F12" s="115">
        <f>F11/'1.Income statement'!F12</f>
        <v>-1.5412899369122215</v>
      </c>
      <c r="G12" s="115">
        <f>G11/'1.Income statement'!G12</f>
        <v>-1.0174959190924258</v>
      </c>
      <c r="H12" s="115">
        <f>H11/'1.Income statement'!H12</f>
        <v>-1.0453224646231445</v>
      </c>
      <c r="I12" s="10">
        <f>I11/'1.Income statement'!I12</f>
        <v>-1.2422778291829264</v>
      </c>
      <c r="J12" s="170">
        <f>J11/'1.Income statement'!J12</f>
        <v>-2.0920137252372886</v>
      </c>
      <c r="K12" s="115">
        <f>K11/'1.Income statement'!K12</f>
        <v>-0.30389836032690887</v>
      </c>
      <c r="L12" s="115">
        <f>L11/'1.Income statement'!L12</f>
        <v>-0.30389836032690887</v>
      </c>
      <c r="M12" s="115">
        <f>M11/'1.Income statement'!M12</f>
        <v>-0.30389836032690892</v>
      </c>
      <c r="N12" s="102">
        <f>N11/'1.Income statement'!N12</f>
        <v>-0.30389836032690887</v>
      </c>
      <c r="O12" s="269"/>
      <c r="P12" s="264"/>
      <c r="Q12" s="12"/>
      <c r="R12" s="1"/>
      <c r="S12" s="1"/>
      <c r="T12" s="1"/>
      <c r="U12" s="1"/>
      <c r="V12" s="1"/>
    </row>
    <row r="13" spans="2:22" ht="16" x14ac:dyDescent="0.2">
      <c r="B13" s="92" t="s">
        <v>77</v>
      </c>
      <c r="C13" s="115">
        <f>C11/'3.retornos capital'!C18</f>
        <v>-0.42293461057272752</v>
      </c>
      <c r="D13" s="115">
        <f>D11/'3.retornos capital'!D18</f>
        <v>-0.53408475500655417</v>
      </c>
      <c r="E13" s="115">
        <f>E11/'3.retornos capital'!E18</f>
        <v>-0.31024804406553697</v>
      </c>
      <c r="F13" s="115">
        <f>F11/'3.retornos capital'!F18</f>
        <v>-0.59985043881666633</v>
      </c>
      <c r="G13" s="115">
        <f>G11/'3.retornos capital'!G18</f>
        <v>-0.40385164005003815</v>
      </c>
      <c r="H13" s="115">
        <f>H11/'3.retornos capital'!H18</f>
        <v>-0.41643158960046622</v>
      </c>
      <c r="I13" s="115">
        <f>I11/'3.retornos capital'!I18</f>
        <v>-0.58609288492162159</v>
      </c>
      <c r="J13" s="170">
        <f>J11/'3.retornos capital'!J18</f>
        <v>-0.65304956512473056</v>
      </c>
      <c r="K13" s="115">
        <f>K11/'3.retornos capital'!K18</f>
        <v>-9.4865865199376689E-2</v>
      </c>
      <c r="L13" s="115">
        <f>L11/'3.retornos capital'!L18</f>
        <v>-9.4865865199376703E-2</v>
      </c>
      <c r="M13" s="115">
        <f>M11/'3.retornos capital'!M18</f>
        <v>-9.4865865199376703E-2</v>
      </c>
      <c r="N13" s="115">
        <f>N11/'3.retornos capital'!N18</f>
        <v>-9.4865865199376675E-2</v>
      </c>
      <c r="O13" s="171"/>
      <c r="P13" s="1"/>
      <c r="Q13" s="1"/>
      <c r="R13" s="1"/>
      <c r="S13" s="1"/>
      <c r="T13" s="1"/>
      <c r="U13" s="1"/>
      <c r="V13" s="1"/>
    </row>
    <row r="14" spans="2:22" ht="16" x14ac:dyDescent="0.2">
      <c r="B14" s="93" t="s">
        <v>23</v>
      </c>
      <c r="C14" s="38"/>
      <c r="D14" s="38"/>
      <c r="E14" s="38"/>
      <c r="F14" s="38"/>
      <c r="G14" s="38"/>
      <c r="H14" s="38"/>
      <c r="I14" s="11">
        <f t="shared" ref="I14:N14" si="0">I10+I11</f>
        <v>11708600159.999998</v>
      </c>
      <c r="J14" s="38">
        <f t="shared" si="0"/>
        <v>11271260339.25</v>
      </c>
      <c r="K14" s="38">
        <f t="shared" si="0"/>
        <v>12257148641.422501</v>
      </c>
      <c r="L14" s="38">
        <f t="shared" si="0"/>
        <v>11995400758.703625</v>
      </c>
      <c r="M14" s="38">
        <f t="shared" si="0"/>
        <v>11720565481.848806</v>
      </c>
      <c r="N14" s="39">
        <f t="shared" si="0"/>
        <v>11431988441.151247</v>
      </c>
      <c r="O14" s="1"/>
      <c r="P14" s="1"/>
      <c r="Q14" s="1"/>
      <c r="R14" s="1"/>
      <c r="S14" s="1"/>
      <c r="T14" s="1"/>
      <c r="U14" s="1"/>
      <c r="V14" s="1"/>
    </row>
    <row r="15" spans="2:22" ht="16" x14ac:dyDescent="0.2">
      <c r="B15" s="56" t="s">
        <v>6</v>
      </c>
      <c r="C15" s="89">
        <f>'1.Income statement'!C12</f>
        <v>275240000</v>
      </c>
      <c r="D15" s="89">
        <f>'1.Income statement'!D12</f>
        <v>371048000</v>
      </c>
      <c r="E15" s="89">
        <f>'1.Income statement'!E12</f>
        <v>378084000</v>
      </c>
      <c r="F15" s="89">
        <f>'1.Income statement'!F12</f>
        <v>562074000</v>
      </c>
      <c r="G15" s="89">
        <f>'1.Income statement'!G12</f>
        <v>610771000</v>
      </c>
      <c r="H15" s="169">
        <f>'1.Income statement'!H12</f>
        <v>703426000</v>
      </c>
      <c r="I15" s="91">
        <f>'1.Income statement'!I12</f>
        <v>994280000</v>
      </c>
      <c r="J15" s="89">
        <f>'1.Income statement'!J12</f>
        <v>690767511.00000012</v>
      </c>
      <c r="K15" s="89">
        <f>'1.Income statement'!K12</f>
        <v>725305886.55000007</v>
      </c>
      <c r="L15" s="89">
        <f>'1.Income statement'!L12</f>
        <v>761571180.87750006</v>
      </c>
      <c r="M15" s="89">
        <f>'1.Income statement'!M12</f>
        <v>799649739.92137516</v>
      </c>
      <c r="N15" s="103">
        <f>'1.Income statement'!N12</f>
        <v>839632226.91744375</v>
      </c>
      <c r="O15" s="264"/>
      <c r="P15" s="264"/>
      <c r="Q15" s="12"/>
      <c r="R15" s="1"/>
      <c r="S15" s="1"/>
      <c r="T15" s="1"/>
      <c r="U15" s="1"/>
      <c r="V15" s="1"/>
    </row>
    <row r="16" spans="2:22" ht="16" x14ac:dyDescent="0.2">
      <c r="B16" s="56" t="s">
        <v>11</v>
      </c>
      <c r="C16" s="89">
        <f>'1.Income statement'!C15</f>
        <v>226668000</v>
      </c>
      <c r="D16" s="89">
        <f>'1.Income statement'!D15</f>
        <v>326107000</v>
      </c>
      <c r="E16" s="89">
        <f>'1.Income statement'!E15</f>
        <v>339172000</v>
      </c>
      <c r="F16" s="89">
        <f>'1.Income statement'!F15</f>
        <v>521544000</v>
      </c>
      <c r="G16" s="89">
        <f>'1.Income statement'!G15</f>
        <v>567893000</v>
      </c>
      <c r="H16" s="89">
        <f>'1.Income statement'!H15</f>
        <v>655568000</v>
      </c>
      <c r="I16" s="90">
        <f>'1.Income statement'!I15</f>
        <v>936693000</v>
      </c>
      <c r="J16" s="89">
        <f>'1.Income statement'!J15</f>
        <v>630301161.00000012</v>
      </c>
      <c r="K16" s="89">
        <f>'1.Income statement'!K15</f>
        <v>661816219.05000007</v>
      </c>
      <c r="L16" s="89">
        <f>'1.Income statement'!L15</f>
        <v>694907030.00250006</v>
      </c>
      <c r="M16" s="89">
        <f>'1.Income statement'!M15</f>
        <v>729652381.50262511</v>
      </c>
      <c r="N16" s="101">
        <f>'1.Income statement'!N15</f>
        <v>766135000.57775629</v>
      </c>
      <c r="O16" s="264"/>
      <c r="P16" s="264"/>
      <c r="Q16" s="12"/>
      <c r="R16" s="1"/>
      <c r="S16" s="1"/>
      <c r="T16" s="1"/>
      <c r="U16" s="1"/>
      <c r="V16" s="1"/>
    </row>
    <row r="17" spans="2:22" ht="16" x14ac:dyDescent="0.2">
      <c r="B17" s="56" t="s">
        <v>12</v>
      </c>
      <c r="C17" s="89">
        <f>'1.Income statement'!C24</f>
        <v>115781000</v>
      </c>
      <c r="D17" s="89">
        <f>'1.Income statement'!D24</f>
        <v>256820000</v>
      </c>
      <c r="E17" s="89">
        <f>'1.Income statement'!E24</f>
        <v>269402000</v>
      </c>
      <c r="F17" s="89">
        <f>'1.Income statement'!F24</f>
        <v>396577000</v>
      </c>
      <c r="G17" s="89">
        <f>'1.Income statement'!G24</f>
        <v>453121000</v>
      </c>
      <c r="H17" s="89">
        <f>'1.Income statement'!H24</f>
        <v>502866000</v>
      </c>
      <c r="I17" s="90">
        <f>'1.Income statement'!I24</f>
        <v>714751000</v>
      </c>
      <c r="J17" s="89">
        <f>'1.Income statement'!J24</f>
        <v>470706720.75000012</v>
      </c>
      <c r="K17" s="89">
        <f>'1.Income statement'!K24</f>
        <v>494242056.78750002</v>
      </c>
      <c r="L17" s="89">
        <f>'1.Income statement'!L24</f>
        <v>518954159.62687504</v>
      </c>
      <c r="M17" s="89">
        <f>'1.Income statement'!M24</f>
        <v>544901867.60821891</v>
      </c>
      <c r="N17" s="101">
        <f>'1.Income statement'!N24</f>
        <v>572146960.9886297</v>
      </c>
      <c r="O17" s="264"/>
      <c r="P17" s="264"/>
      <c r="Q17" s="12"/>
      <c r="R17" s="1"/>
      <c r="S17" s="1"/>
      <c r="T17" s="1"/>
      <c r="U17" s="1"/>
      <c r="V17" s="1"/>
    </row>
    <row r="18" spans="2:22" ht="16" x14ac:dyDescent="0.2">
      <c r="B18" s="56" t="s">
        <v>13</v>
      </c>
      <c r="C18" s="89">
        <f>'2.Flujos de caja'!C16</f>
        <v>129540000</v>
      </c>
      <c r="D18" s="89">
        <f>'2.Flujos de caja'!D16</f>
        <v>272675000</v>
      </c>
      <c r="E18" s="89">
        <f>'2.Flujos de caja'!E16</f>
        <v>275859000</v>
      </c>
      <c r="F18" s="89">
        <f>'2.Flujos de caja'!F16</f>
        <v>404889000</v>
      </c>
      <c r="G18" s="89">
        <f>'2.Flujos de caja'!G16</f>
        <v>444982000</v>
      </c>
      <c r="H18" s="89">
        <f>'2.Flujos de caja'!H16</f>
        <v>469699000</v>
      </c>
      <c r="I18" s="90">
        <f>'2.Flujos de caja'!I16</f>
        <v>682973000</v>
      </c>
      <c r="J18" s="89">
        <f>'2.Flujos de caja'!J16</f>
        <v>437339820.75000012</v>
      </c>
      <c r="K18" s="89">
        <f>'2.Flujos de caja'!K16</f>
        <v>459206811.78750002</v>
      </c>
      <c r="L18" s="89">
        <f>'2.Flujos de caja'!L16</f>
        <v>482167152.37687504</v>
      </c>
      <c r="M18" s="89">
        <f>'2.Flujos de caja'!M16</f>
        <v>506275509.9957189</v>
      </c>
      <c r="N18" s="101">
        <f>'2.Flujos de caja'!N16</f>
        <v>531589285.49550462</v>
      </c>
      <c r="O18" s="264"/>
      <c r="P18" s="264"/>
      <c r="Q18" s="4"/>
      <c r="R18" s="1"/>
      <c r="S18" s="1"/>
      <c r="T18" s="1"/>
      <c r="U18" s="1"/>
      <c r="V18" s="1"/>
    </row>
    <row r="19" spans="2:22" ht="17" thickBot="1" x14ac:dyDescent="0.25">
      <c r="B19" s="56"/>
      <c r="C19" s="98"/>
      <c r="D19" s="89"/>
      <c r="E19" s="89"/>
      <c r="F19" s="89"/>
      <c r="G19" s="89"/>
      <c r="H19" s="89"/>
      <c r="I19" s="90"/>
      <c r="J19" s="89"/>
      <c r="K19" s="89"/>
      <c r="L19" s="89"/>
      <c r="M19" s="89"/>
      <c r="N19" s="101"/>
      <c r="O19" s="5"/>
      <c r="P19" s="5"/>
      <c r="Q19" s="12"/>
      <c r="R19" s="1"/>
      <c r="S19" s="1"/>
      <c r="T19" s="1"/>
      <c r="U19" s="1"/>
      <c r="V19" s="1"/>
    </row>
    <row r="20" spans="2:22" ht="17" thickBot="1" x14ac:dyDescent="0.25">
      <c r="B20" s="108"/>
      <c r="C20" s="109" t="s">
        <v>46</v>
      </c>
      <c r="D20" s="107" t="s">
        <v>47</v>
      </c>
      <c r="E20" s="94"/>
      <c r="F20" s="94"/>
      <c r="G20" s="94"/>
      <c r="H20" s="94"/>
      <c r="I20" s="95"/>
      <c r="J20" s="94"/>
      <c r="K20" s="94"/>
      <c r="L20" s="94"/>
      <c r="M20" s="94"/>
      <c r="N20" s="104"/>
      <c r="O20" s="265"/>
      <c r="P20" s="265"/>
      <c r="Q20" s="4"/>
      <c r="R20" s="1"/>
      <c r="S20" s="1"/>
      <c r="T20" s="1"/>
      <c r="U20" s="1"/>
      <c r="V20" s="1"/>
    </row>
    <row r="21" spans="2:22" ht="20" thickBot="1" x14ac:dyDescent="0.25">
      <c r="B21" s="22" t="s">
        <v>19</v>
      </c>
      <c r="C21" s="97">
        <f>((L21/$Q$9)^(1/3)-1)+$Q$11</f>
        <v>-0.15045343035967285</v>
      </c>
      <c r="D21" s="97">
        <f>((N21/$Q$9)^(1/5)-1)+$Q$11</f>
        <v>-6.6940898408530902E-2</v>
      </c>
      <c r="E21" s="52"/>
      <c r="F21" s="5" t="s">
        <v>80</v>
      </c>
      <c r="G21" s="5"/>
      <c r="H21" s="5"/>
      <c r="I21" s="178">
        <f>IF(--I11&lt;0,(I17*$Q$21-I11),IF(--I11&gt;0,I17*$Q$21))/'1.Income statement'!I27</f>
        <v>71.929297194922199</v>
      </c>
      <c r="J21" s="179">
        <f>IF(J11&lt;0,J17*$Q$21-J11,IF(J11=0,J17*$Q$21,IF(J11&gt;0,J17*$Q$21)))/'1.Income statement'!J27</f>
        <v>52.330859133494513</v>
      </c>
      <c r="K21" s="179">
        <f>IF(K11&lt;0,K17*$Q$21-K11,IF(K11=0,K17*$Q$21,IF(K11&gt;0,K17*$Q$21)))/'1.Income statement'!K27</f>
        <v>47.390557849974513</v>
      </c>
      <c r="L21" s="179">
        <f>IF(L11&lt;0,L17*$Q$21-L11,IF(L11=0,L17*$Q$21,IF(L11&gt;0,L17*$Q$21)))/'1.Income statement'!L27</f>
        <v>50.780479563530534</v>
      </c>
      <c r="M21" s="179">
        <f>IF(M11&lt;0,M17*$Q$21-M11,IF(M11=0,M17*$Q$21,IF(M11&gt;0,M17*$Q$21)))/'1.Income statement'!M27</f>
        <v>54.4928203305343</v>
      </c>
      <c r="N21" s="179">
        <f>IF(N11&lt;0,N17*$Q$21-N11,IF(N11=0,N17*$Q$21,IF(N11&gt;0,N17*$Q$21)))/'1.Income statement'!N27</f>
        <v>58.570778171840459</v>
      </c>
      <c r="O21" s="186" t="s">
        <v>26</v>
      </c>
      <c r="P21" s="110"/>
      <c r="Q21" s="8">
        <v>14</v>
      </c>
      <c r="R21" s="1"/>
      <c r="S21" s="1"/>
      <c r="T21" s="1"/>
      <c r="U21" s="1"/>
      <c r="V21" s="1"/>
    </row>
    <row r="22" spans="2:22" ht="20" thickBot="1" x14ac:dyDescent="0.25">
      <c r="B22" s="22" t="s">
        <v>20</v>
      </c>
      <c r="C22" s="97">
        <f t="shared" ref="C22:C23" si="1">((L22/$Q$9)^(1/3)-1)+$Q$11</f>
        <v>-0.17037090794274812</v>
      </c>
      <c r="D22" s="97">
        <f t="shared" ref="D22:D23" si="2">((N22/$Q$9)^(1/5)-1)+$Q$11</f>
        <v>-8.0128374211714815E-2</v>
      </c>
      <c r="E22" s="52"/>
      <c r="F22" s="6" t="s">
        <v>81</v>
      </c>
      <c r="G22" s="52"/>
      <c r="H22" s="52"/>
      <c r="I22" s="178">
        <f>IF(--I11&lt;0,(I18*$Q$22-I11),IF(--I11&gt;0,I18*$Q$22))/'1.Income statement'!I27</f>
        <v>69.082680692055689</v>
      </c>
      <c r="J22" s="181">
        <f>IF(J11&lt;0,J18*$Q$22-J11,IF(J11=0,J18*$Q$22,IF(J11&gt;0,J18*$Q$22)))/'1.Income statement'!J27</f>
        <v>49.288458081215509</v>
      </c>
      <c r="K22" s="181">
        <f>IF(K11&lt;0,K18*$Q$22-K11,IF(K11=0,K18*$Q$22,IF(K11&gt;0,K18*$Q$22)))/'1.Income statement'!K27</f>
        <v>44.134902087401926</v>
      </c>
      <c r="L22" s="181">
        <f>IF(L11&lt;0,L18*$Q$22-L11,IF(L11=0,L18*$Q$22,IF(L11&gt;0,L18*$Q$22)))/'1.Income statement'!L27</f>
        <v>47.291941584286292</v>
      </c>
      <c r="M22" s="181">
        <f>IF(M11&lt;0,M18*$Q$22-M11,IF(M11=0,M18*$Q$22,IF(M11&gt;0,M18*$Q$22)))/'1.Income statement'!M27</f>
        <v>50.749250459726547</v>
      </c>
      <c r="N22" s="181">
        <f>IF(N11&lt;0,N18*$Q$22-N11,IF(N11=0,N18*$Q$22,IF(N11&gt;0,N18*$Q$22)))/'1.Income statement'!N27</f>
        <v>54.547059099421574</v>
      </c>
      <c r="O22" s="270" t="s">
        <v>27</v>
      </c>
      <c r="P22" s="271"/>
      <c r="Q22" s="8">
        <v>14</v>
      </c>
      <c r="R22" s="1"/>
      <c r="S22" s="1"/>
      <c r="T22" s="1"/>
      <c r="U22" s="1"/>
      <c r="V22" s="1"/>
    </row>
    <row r="23" spans="2:22" ht="20" thickBot="1" x14ac:dyDescent="0.25">
      <c r="B23" s="22" t="s">
        <v>21</v>
      </c>
      <c r="C23" s="97">
        <f t="shared" si="1"/>
        <v>-0.23089851012955465</v>
      </c>
      <c r="D23" s="97">
        <f t="shared" si="2"/>
        <v>-0.1210037327138066</v>
      </c>
      <c r="E23" s="52"/>
      <c r="F23" s="6" t="s">
        <v>82</v>
      </c>
      <c r="G23" s="52"/>
      <c r="H23" s="52"/>
      <c r="I23" s="180">
        <f>((I15*$Q$23)-I11)/'1.Income statement'!I27</f>
        <v>52.436092342342342</v>
      </c>
      <c r="J23" s="181">
        <f>((J15*$Q$23)-J11)/'1.Income statement'!J27</f>
        <v>40.903884456454527</v>
      </c>
      <c r="K23" s="181">
        <f>((K15*$Q$23)-K11)/'1.Income statement'!K27</f>
        <v>35.162618365070422</v>
      </c>
      <c r="L23" s="181">
        <f>((L15*$Q$23)-L11)/'1.Income statement'!L27</f>
        <v>37.677856186886856</v>
      </c>
      <c r="M23" s="181">
        <f>((M15*$Q$23)-M11)/'1.Income statement'!M27</f>
        <v>40.43232094850638</v>
      </c>
      <c r="N23" s="182">
        <f>((N15*$Q$23)-N11)/'1.Income statement'!N27</f>
        <v>43.458064509842664</v>
      </c>
      <c r="O23" s="255" t="s">
        <v>28</v>
      </c>
      <c r="P23" s="255"/>
      <c r="Q23" s="8">
        <v>7</v>
      </c>
      <c r="R23" s="1"/>
      <c r="S23" s="1"/>
      <c r="T23" s="1"/>
      <c r="U23" s="1"/>
      <c r="V23" s="1"/>
    </row>
    <row r="24" spans="2:22" ht="20" thickBot="1" x14ac:dyDescent="0.25">
      <c r="B24" s="23" t="s">
        <v>22</v>
      </c>
      <c r="C24" s="97">
        <f>((L24/$Q$9)^(1/3)-1)+$Q$11</f>
        <v>-0.19050896488589109</v>
      </c>
      <c r="D24" s="97">
        <f>((N24/$Q$9)^(1/5)-1)+$Q$11</f>
        <v>-9.3591300186755988E-2</v>
      </c>
      <c r="E24" s="105"/>
      <c r="F24" s="106" t="s">
        <v>83</v>
      </c>
      <c r="G24" s="105"/>
      <c r="H24" s="105"/>
      <c r="I24" s="183">
        <f>((I16*$Q$24)-I11)/'1.Income statement'!I27</f>
        <v>61.843577242014739</v>
      </c>
      <c r="J24" s="184">
        <f>((J16*$Q$24)-J11)/'1.Income statement'!J27</f>
        <v>46.357359142201403</v>
      </c>
      <c r="K24" s="184">
        <f>((K16*$Q$24)-K11)/'1.Income statement'!K27</f>
        <v>40.99835007223502</v>
      </c>
      <c r="L24" s="184">
        <f>((L16*$Q$24)-L11)/'1.Income statement'!L27</f>
        <v>43.931027032270329</v>
      </c>
      <c r="M24" s="184">
        <f>((M16*$Q$24)-M11)/'1.Income statement'!M27</f>
        <v>47.142634011763427</v>
      </c>
      <c r="N24" s="185">
        <f>((N16*$Q$24)-N11)/'1.Income statement'!N27</f>
        <v>50.670542328161858</v>
      </c>
      <c r="O24" s="255" t="s">
        <v>29</v>
      </c>
      <c r="P24" s="255"/>
      <c r="Q24" s="8">
        <v>9</v>
      </c>
      <c r="R24" s="1"/>
      <c r="S24" s="1"/>
      <c r="T24" s="1"/>
      <c r="U24" s="1"/>
      <c r="V24" s="1"/>
    </row>
    <row r="25" spans="2:22" ht="16" x14ac:dyDescent="0.2">
      <c r="B25" s="3"/>
      <c r="C25" s="2"/>
      <c r="D25" s="2"/>
      <c r="E25" s="2"/>
      <c r="F25" s="2"/>
      <c r="G25" s="2"/>
      <c r="H25" s="2"/>
      <c r="I25" s="2"/>
      <c r="J25" s="2"/>
      <c r="K25" s="2"/>
      <c r="L25" s="2"/>
      <c r="M25" s="2"/>
      <c r="N25" s="2"/>
      <c r="O25" s="1"/>
      <c r="P25" s="1"/>
      <c r="Q25" s="1"/>
      <c r="R25" s="1"/>
      <c r="S25" s="1"/>
      <c r="T25" s="1"/>
      <c r="U25" s="1"/>
      <c r="V25" s="1"/>
    </row>
    <row r="26" spans="2:22" x14ac:dyDescent="0.2">
      <c r="B26" s="1"/>
      <c r="C26" s="2"/>
      <c r="D26" s="2"/>
      <c r="E26" s="2"/>
      <c r="F26" s="2"/>
      <c r="G26" s="2"/>
      <c r="H26" s="2"/>
      <c r="I26" s="2"/>
      <c r="J26" s="2"/>
      <c r="K26" s="2"/>
      <c r="L26" s="2"/>
      <c r="M26" s="2"/>
      <c r="N26" s="2"/>
      <c r="O26" s="1"/>
      <c r="P26" s="1"/>
      <c r="Q26" s="1"/>
      <c r="R26" s="1"/>
      <c r="S26" s="1"/>
      <c r="T26" s="1"/>
      <c r="U26" s="1"/>
      <c r="V26" s="1"/>
    </row>
    <row r="27" spans="2:22" x14ac:dyDescent="0.2">
      <c r="B27" s="1"/>
      <c r="C27" s="1"/>
      <c r="D27" s="1"/>
      <c r="E27" s="1"/>
      <c r="F27" s="1"/>
      <c r="G27" s="1"/>
      <c r="H27" s="1"/>
      <c r="I27" s="1"/>
      <c r="J27" s="1"/>
      <c r="K27" s="1"/>
      <c r="L27" s="1"/>
      <c r="M27" s="1" t="s">
        <v>230</v>
      </c>
      <c r="N27" s="1" t="s">
        <v>231</v>
      </c>
      <c r="O27" s="1"/>
      <c r="P27" s="1"/>
      <c r="Q27" s="1"/>
      <c r="R27" s="1" t="s">
        <v>234</v>
      </c>
      <c r="S27" s="1" t="s">
        <v>231</v>
      </c>
      <c r="T27" s="1"/>
      <c r="U27" s="1"/>
      <c r="V27" s="1"/>
    </row>
    <row r="28" spans="2:22" x14ac:dyDescent="0.2">
      <c r="B28" s="1"/>
      <c r="C28" s="1"/>
      <c r="D28" s="1"/>
      <c r="E28" s="1"/>
      <c r="F28" s="1"/>
      <c r="G28" s="1"/>
      <c r="H28" s="1"/>
      <c r="I28" s="1"/>
      <c r="J28" s="1"/>
      <c r="K28" s="1"/>
      <c r="L28" s="1"/>
      <c r="M28" s="1"/>
      <c r="N28" s="1"/>
      <c r="O28" s="1"/>
      <c r="P28" s="1"/>
      <c r="Q28" s="1"/>
      <c r="R28" s="1"/>
      <c r="S28" s="1"/>
      <c r="T28" s="1"/>
      <c r="U28" s="1"/>
      <c r="V28" s="1"/>
    </row>
    <row r="29" spans="2:22" x14ac:dyDescent="0.2">
      <c r="B29" s="1"/>
      <c r="C29" s="1"/>
      <c r="D29" s="1"/>
      <c r="E29" s="1"/>
      <c r="F29" s="1"/>
      <c r="G29" s="1"/>
      <c r="H29" s="1"/>
      <c r="I29" s="1"/>
      <c r="J29" s="1"/>
      <c r="K29" s="1"/>
      <c r="L29" s="1" t="s">
        <v>232</v>
      </c>
      <c r="M29" s="1">
        <v>244</v>
      </c>
      <c r="N29" s="1">
        <v>398</v>
      </c>
      <c r="O29" s="1"/>
      <c r="P29" s="297">
        <v>0.2</v>
      </c>
      <c r="Q29" s="1"/>
      <c r="R29" s="1">
        <f>M29*P29</f>
        <v>48.800000000000004</v>
      </c>
      <c r="S29" s="1">
        <f>N29*P29</f>
        <v>79.600000000000009</v>
      </c>
      <c r="T29" s="1"/>
      <c r="U29" s="1"/>
      <c r="V29" s="1"/>
    </row>
    <row r="30" spans="2:22" x14ac:dyDescent="0.2">
      <c r="B30" s="1"/>
      <c r="C30" s="1"/>
      <c r="D30" s="1"/>
      <c r="E30" s="1"/>
      <c r="F30" s="1"/>
      <c r="G30" s="1"/>
      <c r="H30" s="1"/>
      <c r="I30" s="1"/>
      <c r="J30" s="1"/>
      <c r="K30" s="1"/>
      <c r="L30" s="1" t="s">
        <v>229</v>
      </c>
      <c r="M30" s="1">
        <v>119</v>
      </c>
      <c r="N30" s="1">
        <v>158</v>
      </c>
      <c r="O30" s="1"/>
      <c r="P30" s="297">
        <v>0.6</v>
      </c>
      <c r="Q30" s="1"/>
      <c r="R30" s="1">
        <f>M30*P30</f>
        <v>71.399999999999991</v>
      </c>
      <c r="S30" s="1">
        <f>N30*P30</f>
        <v>94.8</v>
      </c>
      <c r="T30" s="1"/>
      <c r="U30" s="1"/>
      <c r="V30" s="1"/>
    </row>
    <row r="31" spans="2:22" x14ac:dyDescent="0.2">
      <c r="B31" s="1"/>
      <c r="C31" s="1"/>
      <c r="D31" s="1"/>
      <c r="E31" s="1"/>
      <c r="F31" s="1"/>
      <c r="G31" s="1"/>
      <c r="H31" s="1"/>
      <c r="I31" s="1"/>
      <c r="J31" s="1"/>
      <c r="K31" s="1"/>
      <c r="L31" s="1" t="s">
        <v>233</v>
      </c>
      <c r="M31" s="1">
        <v>45</v>
      </c>
      <c r="N31" s="1">
        <v>52</v>
      </c>
      <c r="O31" s="1"/>
      <c r="P31" s="297">
        <v>0.2</v>
      </c>
      <c r="Q31" s="1"/>
      <c r="R31" s="1">
        <f>M31*P31</f>
        <v>9</v>
      </c>
      <c r="S31" s="1">
        <f>N31*P31</f>
        <v>10.4</v>
      </c>
      <c r="T31" s="1"/>
      <c r="U31" s="1"/>
      <c r="V31" s="1"/>
    </row>
    <row r="32" spans="2:22" x14ac:dyDescent="0.2">
      <c r="B32" s="1"/>
      <c r="C32" s="1"/>
      <c r="D32" s="1"/>
      <c r="E32" s="1"/>
      <c r="F32" s="1"/>
      <c r="G32" s="1"/>
      <c r="H32" s="1"/>
      <c r="I32" s="1"/>
      <c r="J32" s="1"/>
      <c r="K32" s="1"/>
      <c r="L32" s="1"/>
      <c r="M32" s="1"/>
      <c r="O32" s="1"/>
      <c r="P32" s="1"/>
      <c r="Q32" s="1"/>
      <c r="R32" s="14">
        <f>SUM(R29:R31)</f>
        <v>129.19999999999999</v>
      </c>
      <c r="S32" s="14">
        <f>S29+S30+S31</f>
        <v>184.8</v>
      </c>
      <c r="T32" s="1"/>
      <c r="U32" s="1"/>
      <c r="V32" s="1"/>
    </row>
    <row r="33" spans="2:22" x14ac:dyDescent="0.2">
      <c r="B33" s="1"/>
      <c r="C33" s="1"/>
      <c r="D33" s="1"/>
      <c r="E33" s="1"/>
      <c r="F33" s="1"/>
      <c r="G33" s="1"/>
      <c r="H33" s="1"/>
      <c r="I33" s="1"/>
      <c r="J33" s="1"/>
      <c r="K33" s="1"/>
      <c r="L33" s="1"/>
      <c r="M33" s="1"/>
      <c r="N33" s="1"/>
      <c r="O33" s="1"/>
      <c r="P33" s="1"/>
      <c r="Q33" s="1"/>
      <c r="R33" s="1"/>
      <c r="S33" s="1"/>
      <c r="T33" s="1"/>
      <c r="U33" s="1"/>
      <c r="V33" s="1"/>
    </row>
    <row r="41" spans="2:22" x14ac:dyDescent="0.2">
      <c r="Q41" s="7"/>
    </row>
  </sheetData>
  <mergeCells count="13">
    <mergeCell ref="B2:B8"/>
    <mergeCell ref="O9:P9"/>
    <mergeCell ref="O11:P11"/>
    <mergeCell ref="O12:P12"/>
    <mergeCell ref="O22:P22"/>
    <mergeCell ref="O23:P23"/>
    <mergeCell ref="O24:P24"/>
    <mergeCell ref="C2:N7"/>
    <mergeCell ref="O15:P15"/>
    <mergeCell ref="O16:P16"/>
    <mergeCell ref="O17:P17"/>
    <mergeCell ref="O18:P18"/>
    <mergeCell ref="O20:P20"/>
  </mergeCells>
  <dataValidations count="1">
    <dataValidation type="list" allowBlank="1" showInputMessage="1" showErrorMessage="1" sqref="Q12:Q13" xr:uid="{00000000-0002-0000-0300-000000000000}">
      <formula1>$Q$36:$Q$41</formula1>
    </dataValidation>
  </dataValidations>
  <pageMargins left="0.7" right="0.7" top="0.75" bottom="0.75" header="0.3" footer="0.3"/>
  <pageSetup paperSize="9" orientation="portrait" r:id="rId1"/>
  <headerFooter>
    <oddHeader>&amp;L&amp;"Arial"&amp;8&amp;K000000INTERNAL&amp;1#</oddHead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I29"/>
  <sheetViews>
    <sheetView topLeftCell="A17" workbookViewId="0">
      <selection activeCell="E22" sqref="E22"/>
    </sheetView>
  </sheetViews>
  <sheetFormatPr baseColWidth="10" defaultRowHeight="15" x14ac:dyDescent="0.2"/>
  <cols>
    <col min="2" max="2" width="105.1640625" customWidth="1"/>
    <col min="9" max="9" width="11.5" customWidth="1"/>
  </cols>
  <sheetData>
    <row r="3" spans="2:9" ht="51" customHeight="1" x14ac:dyDescent="0.2">
      <c r="B3" s="136" t="s">
        <v>66</v>
      </c>
      <c r="C3" s="134"/>
      <c r="D3" s="134"/>
      <c r="E3" s="134"/>
      <c r="F3" s="134"/>
      <c r="G3" s="134"/>
    </row>
    <row r="4" spans="2:9" ht="46.5" customHeight="1" x14ac:dyDescent="0.2">
      <c r="B4" s="135" t="s">
        <v>54</v>
      </c>
      <c r="C4" s="133"/>
      <c r="D4" s="133"/>
      <c r="E4" s="124"/>
      <c r="F4" s="133"/>
      <c r="G4" s="133"/>
      <c r="H4" s="133"/>
    </row>
    <row r="5" spans="2:9" ht="21" customHeight="1" x14ac:dyDescent="0.2">
      <c r="B5" s="133"/>
      <c r="C5" s="133"/>
      <c r="D5" s="133"/>
      <c r="E5" s="133"/>
      <c r="F5" s="133"/>
      <c r="G5" s="133"/>
      <c r="H5" s="133"/>
    </row>
    <row r="6" spans="2:9" ht="21" customHeight="1" x14ac:dyDescent="0.2">
      <c r="B6" s="272" t="s">
        <v>67</v>
      </c>
      <c r="C6" s="272"/>
      <c r="D6" s="272"/>
      <c r="E6" s="272"/>
      <c r="F6" s="272"/>
      <c r="G6" s="272"/>
      <c r="H6" s="272"/>
      <c r="I6" s="272"/>
    </row>
    <row r="7" spans="2:9" ht="21" customHeight="1" thickBot="1" x14ac:dyDescent="0.3">
      <c r="B7" s="126"/>
      <c r="C7" s="126"/>
      <c r="D7" s="126"/>
      <c r="E7" s="126"/>
      <c r="F7" s="126"/>
      <c r="G7" s="126"/>
      <c r="H7" s="126"/>
      <c r="I7" s="126"/>
    </row>
    <row r="8" spans="2:9" ht="57" customHeight="1" thickBot="1" x14ac:dyDescent="0.3">
      <c r="B8" s="139" t="s">
        <v>68</v>
      </c>
      <c r="C8" s="126"/>
      <c r="D8" s="126"/>
      <c r="E8" s="126"/>
      <c r="F8" s="126"/>
      <c r="G8" s="126"/>
      <c r="H8" s="126"/>
      <c r="I8" s="126"/>
    </row>
    <row r="9" spans="2:9" s="124" customFormat="1" ht="21" customHeight="1" x14ac:dyDescent="0.2">
      <c r="B9" s="130" t="s">
        <v>56</v>
      </c>
      <c r="C9" s="127"/>
      <c r="D9" s="127"/>
      <c r="E9" s="127"/>
      <c r="F9" s="127"/>
      <c r="G9" s="127"/>
      <c r="H9" s="127"/>
      <c r="I9" s="127"/>
    </row>
    <row r="10" spans="2:9" s="124" customFormat="1" ht="21" customHeight="1" x14ac:dyDescent="0.2">
      <c r="B10" s="128" t="s">
        <v>61</v>
      </c>
      <c r="C10" s="127"/>
      <c r="D10" s="127"/>
      <c r="E10" s="127"/>
      <c r="F10" s="127"/>
      <c r="G10" s="127"/>
      <c r="H10" s="127"/>
      <c r="I10" s="127"/>
    </row>
    <row r="11" spans="2:9" s="124" customFormat="1" ht="21" customHeight="1" x14ac:dyDescent="0.2">
      <c r="B11" s="128" t="s">
        <v>57</v>
      </c>
      <c r="C11" s="127"/>
      <c r="D11" s="127"/>
      <c r="E11" s="127"/>
      <c r="F11" s="127"/>
      <c r="G11" s="127"/>
      <c r="H11" s="127"/>
      <c r="I11" s="127"/>
    </row>
    <row r="12" spans="2:9" s="124" customFormat="1" ht="21" customHeight="1" x14ac:dyDescent="0.2">
      <c r="B12" s="128" t="s">
        <v>58</v>
      </c>
      <c r="C12" s="127"/>
      <c r="D12" s="127"/>
      <c r="E12" s="127"/>
      <c r="F12" s="127"/>
      <c r="G12" s="127"/>
      <c r="H12" s="127"/>
      <c r="I12" s="127"/>
    </row>
    <row r="13" spans="2:9" s="124" customFormat="1" ht="21" customHeight="1" x14ac:dyDescent="0.2">
      <c r="B13" s="128" t="s">
        <v>60</v>
      </c>
      <c r="C13" s="127"/>
      <c r="D13" s="127"/>
      <c r="E13" s="127"/>
      <c r="F13" s="127"/>
      <c r="G13" s="127"/>
      <c r="H13" s="127"/>
      <c r="I13" s="127"/>
    </row>
    <row r="14" spans="2:9" s="124" customFormat="1" ht="21" customHeight="1" x14ac:dyDescent="0.2">
      <c r="B14" s="128" t="s">
        <v>74</v>
      </c>
      <c r="C14" s="127"/>
      <c r="D14" s="127"/>
      <c r="E14" s="127"/>
      <c r="F14" s="127"/>
      <c r="G14" s="127"/>
      <c r="H14" s="127"/>
      <c r="I14" s="127"/>
    </row>
    <row r="15" spans="2:9" s="124" customFormat="1" ht="18" customHeight="1" x14ac:dyDescent="0.2">
      <c r="B15" s="273" t="s">
        <v>59</v>
      </c>
      <c r="C15" s="127"/>
      <c r="D15" s="127"/>
      <c r="E15" s="127"/>
      <c r="F15" s="127"/>
      <c r="G15" s="127"/>
      <c r="H15" s="127"/>
      <c r="I15" s="127"/>
    </row>
    <row r="16" spans="2:9" s="124" customFormat="1" ht="39" customHeight="1" thickBot="1" x14ac:dyDescent="0.25">
      <c r="B16" s="274"/>
      <c r="C16" s="127"/>
      <c r="D16" s="127"/>
      <c r="E16" s="127"/>
      <c r="F16" s="127"/>
      <c r="G16" s="127"/>
      <c r="H16" s="127"/>
      <c r="I16" s="127"/>
    </row>
    <row r="17" spans="2:9" s="124" customFormat="1" ht="57" customHeight="1" thickBot="1" x14ac:dyDescent="0.25">
      <c r="B17" s="140" t="s">
        <v>69</v>
      </c>
      <c r="C17" s="125"/>
      <c r="D17" s="125"/>
      <c r="E17" s="125"/>
      <c r="F17" s="125"/>
      <c r="G17" s="125"/>
      <c r="H17" s="125"/>
      <c r="I17" s="125"/>
    </row>
    <row r="18" spans="2:9" s="124" customFormat="1" ht="23.25" customHeight="1" thickBot="1" x14ac:dyDescent="0.25">
      <c r="B18" s="137" t="s">
        <v>72</v>
      </c>
      <c r="C18" s="125"/>
      <c r="D18" s="125"/>
      <c r="E18" s="125"/>
      <c r="F18" s="125"/>
      <c r="G18" s="125"/>
      <c r="H18" s="125"/>
      <c r="I18" s="125"/>
    </row>
    <row r="19" spans="2:9" ht="57" customHeight="1" thickBot="1" x14ac:dyDescent="0.25">
      <c r="B19" s="140" t="s">
        <v>70</v>
      </c>
      <c r="C19" s="125"/>
      <c r="D19" s="125"/>
      <c r="E19" s="125"/>
      <c r="F19" s="125"/>
      <c r="G19" s="125"/>
      <c r="H19" s="125"/>
      <c r="I19" s="125"/>
    </row>
    <row r="20" spans="2:9" ht="21" customHeight="1" x14ac:dyDescent="0.2">
      <c r="B20" s="275" t="s">
        <v>62</v>
      </c>
      <c r="C20" s="124"/>
      <c r="D20" s="124"/>
      <c r="E20" s="124"/>
      <c r="F20" s="124"/>
      <c r="G20" s="124"/>
      <c r="H20" s="124"/>
      <c r="I20" s="124"/>
    </row>
    <row r="21" spans="2:9" ht="21" customHeight="1" x14ac:dyDescent="0.2">
      <c r="B21" s="273"/>
      <c r="C21" s="125"/>
      <c r="D21" s="125"/>
      <c r="E21" s="125"/>
      <c r="F21" s="125"/>
      <c r="G21" s="125"/>
      <c r="H21" s="125"/>
      <c r="I21" s="125"/>
    </row>
    <row r="22" spans="2:9" ht="33" customHeight="1" thickBot="1" x14ac:dyDescent="0.25">
      <c r="B22" s="274"/>
      <c r="C22" s="125"/>
      <c r="D22" s="125"/>
      <c r="E22" s="125"/>
      <c r="F22" s="125"/>
      <c r="G22" s="125"/>
      <c r="H22" s="125"/>
      <c r="I22" s="125"/>
    </row>
    <row r="23" spans="2:9" ht="57" customHeight="1" thickBot="1" x14ac:dyDescent="0.25">
      <c r="B23" s="140" t="s">
        <v>71</v>
      </c>
      <c r="C23" s="125"/>
      <c r="D23" s="125"/>
      <c r="E23" s="125"/>
      <c r="F23" s="125"/>
      <c r="G23" s="125"/>
      <c r="H23" s="125"/>
      <c r="I23" s="125"/>
    </row>
    <row r="24" spans="2:9" ht="35.25" customHeight="1" x14ac:dyDescent="0.2">
      <c r="B24" s="130" t="s">
        <v>73</v>
      </c>
      <c r="C24" s="125"/>
      <c r="D24" s="125"/>
      <c r="E24" s="125"/>
      <c r="F24" s="125"/>
      <c r="G24" s="125"/>
      <c r="H24" s="125"/>
      <c r="I24" s="125"/>
    </row>
    <row r="25" spans="2:9" ht="72" customHeight="1" thickBot="1" x14ac:dyDescent="0.25">
      <c r="B25" s="129" t="s">
        <v>63</v>
      </c>
      <c r="C25" s="125"/>
      <c r="D25" s="125"/>
      <c r="E25" s="125"/>
      <c r="F25" s="125"/>
      <c r="G25" s="125"/>
      <c r="H25" s="125"/>
      <c r="I25" s="125"/>
    </row>
    <row r="26" spans="2:9" ht="26.25" customHeight="1" x14ac:dyDescent="0.2">
      <c r="B26" s="132"/>
      <c r="C26" s="125"/>
      <c r="D26" s="125"/>
      <c r="E26" s="125"/>
      <c r="F26" s="125"/>
      <c r="G26" s="125"/>
      <c r="H26" s="125"/>
      <c r="I26" s="125"/>
    </row>
    <row r="27" spans="2:9" ht="21" x14ac:dyDescent="0.25">
      <c r="B27" s="138" t="s">
        <v>65</v>
      </c>
      <c r="C27" s="131"/>
      <c r="D27" s="131"/>
      <c r="E27" s="131"/>
    </row>
    <row r="28" spans="2:9" ht="61.5" customHeight="1" x14ac:dyDescent="0.2">
      <c r="B28" s="133" t="s">
        <v>64</v>
      </c>
      <c r="C28" s="133"/>
      <c r="D28" s="133"/>
      <c r="E28" s="133"/>
      <c r="F28" s="133"/>
      <c r="G28" s="133"/>
      <c r="H28" s="133"/>
      <c r="I28" s="133"/>
    </row>
    <row r="29" spans="2:9" ht="28.5" customHeight="1" x14ac:dyDescent="0.2">
      <c r="B29" s="276"/>
      <c r="C29" s="276"/>
      <c r="D29" s="276"/>
      <c r="E29" s="276"/>
      <c r="F29" s="276"/>
    </row>
  </sheetData>
  <mergeCells count="4">
    <mergeCell ref="B6:I6"/>
    <mergeCell ref="B15:B16"/>
    <mergeCell ref="B20:B22"/>
    <mergeCell ref="B29:F29"/>
  </mergeCells>
  <pageMargins left="0.7" right="0.7" top="0.75" bottom="0.75" header="0.3" footer="0.3"/>
  <pageSetup orientation="portrait" r:id="rId1"/>
  <headerFooter>
    <oddHeader>&amp;L&amp;"Arial"&amp;8&amp;K000000INTERNAL&amp;1#</oddHeader>
  </headerFooter>
</worksheet>
</file>

<file path=docMetadata/LabelInfo.xml><?xml version="1.0" encoding="utf-8"?>
<clbl:labelList xmlns:clbl="http://schemas.microsoft.com/office/2020/mipLabelMetadata">
  <clbl:label id="{b1c9b508-7c6e-42bd-bedf-808292653d6c}" enabled="1" method="Standard" siteId="{2882be50-2012-4d88-ac86-544124e120c8}"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Datos Tweenvest</vt:lpstr>
      <vt:lpstr>1.Income statement</vt:lpstr>
      <vt:lpstr>2.Flujos de caja</vt:lpstr>
      <vt:lpstr>3.retornos capital</vt:lpstr>
      <vt:lpstr>4. Valoración</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2025-11-15T11:29:34Z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c9b508-7c6e-42bd-bedf-808292653d6c_Enabled">
    <vt:lpwstr>true</vt:lpwstr>
  </property>
  <property fmtid="{D5CDD505-2E9C-101B-9397-08002B2CF9AE}" pid="3" name="MSIP_Label_b1c9b508-7c6e-42bd-bedf-808292653d6c_SetDate">
    <vt:lpwstr>2023-02-07T07:12:56Z</vt:lpwstr>
  </property>
  <property fmtid="{D5CDD505-2E9C-101B-9397-08002B2CF9AE}" pid="4" name="MSIP_Label_b1c9b508-7c6e-42bd-bedf-808292653d6c_Method">
    <vt:lpwstr>Standard</vt:lpwstr>
  </property>
  <property fmtid="{D5CDD505-2E9C-101B-9397-08002B2CF9AE}" pid="5" name="MSIP_Label_b1c9b508-7c6e-42bd-bedf-808292653d6c_Name">
    <vt:lpwstr>b1c9b508-7c6e-42bd-bedf-808292653d6c</vt:lpwstr>
  </property>
  <property fmtid="{D5CDD505-2E9C-101B-9397-08002B2CF9AE}" pid="6" name="MSIP_Label_b1c9b508-7c6e-42bd-bedf-808292653d6c_SiteId">
    <vt:lpwstr>2882be50-2012-4d88-ac86-544124e120c8</vt:lpwstr>
  </property>
  <property fmtid="{D5CDD505-2E9C-101B-9397-08002B2CF9AE}" pid="7" name="MSIP_Label_b1c9b508-7c6e-42bd-bedf-808292653d6c_ActionId">
    <vt:lpwstr>609465d5-c7af-4675-b44b-a41cbb3f95c5</vt:lpwstr>
  </property>
  <property fmtid="{D5CDD505-2E9C-101B-9397-08002B2CF9AE}" pid="8" name="MSIP_Label_b1c9b508-7c6e-42bd-bedf-808292653d6c_ContentBits">
    <vt:lpwstr>3</vt:lpwstr>
  </property>
</Properties>
</file>